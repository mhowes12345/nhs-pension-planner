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6380" windowHeight="8196" tabRatio="500"/>
  </bookViews>
  <sheets>
    <sheet name="README" sheetId="1" r:id="rId1"/>
    <sheet name="Inputs" sheetId="2" r:id="rId2"/>
    <sheet name="Legacy Scheme" sheetId="3" r:id="rId3"/>
    <sheet name="2015 CARE Projection" sheetId="4" r:id="rId4"/>
    <sheet name="Private Pensions Projection" sheetId="5" r:id="rId5"/>
    <sheet name="Annual Allowance Check" sheetId="6" r:id="rId6"/>
    <sheet name="Scenario Summary" sheetId="7" r:id="rId7"/>
    <sheet name="Target Income Calculator" sheetId="8" r:id="rId8"/>
    <sheet name="Retirement Living Standards" sheetId="9" r:id="rId9"/>
    <sheet name="Assumptions &amp; Sources" sheetId="10" r:id="rId10"/>
    <sheet name="Glossary" sheetId="11" r:id="rId11"/>
  </sheets>
  <calcPr calcId="14562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26" i="8" l="1"/>
  <c r="C26" i="8"/>
  <c r="B26" i="8"/>
  <c r="B14" i="8"/>
  <c r="B6" i="8"/>
  <c r="B5" i="8"/>
  <c r="D17" i="7"/>
  <c r="C17" i="7"/>
  <c r="B17" i="7"/>
  <c r="D6" i="7"/>
  <c r="D14" i="7" s="1"/>
  <c r="D20" i="7" s="1"/>
  <c r="C6" i="7"/>
  <c r="B6" i="7"/>
  <c r="B14" i="7" s="1"/>
  <c r="B20" i="7" s="1"/>
  <c r="D5" i="7"/>
  <c r="C5" i="7"/>
  <c r="B5" i="7"/>
  <c r="E40" i="6"/>
  <c r="A40" i="6"/>
  <c r="E39" i="6"/>
  <c r="A39" i="6"/>
  <c r="E38" i="6"/>
  <c r="A38" i="6"/>
  <c r="E37" i="6"/>
  <c r="A37" i="6"/>
  <c r="E36" i="6"/>
  <c r="A36" i="6"/>
  <c r="E35" i="6"/>
  <c r="A35" i="6"/>
  <c r="E34" i="6"/>
  <c r="A34" i="6"/>
  <c r="E33" i="6"/>
  <c r="A33" i="6"/>
  <c r="E32" i="6"/>
  <c r="A32" i="6"/>
  <c r="E31" i="6"/>
  <c r="A31" i="6"/>
  <c r="E30" i="6"/>
  <c r="A30" i="6"/>
  <c r="E29" i="6"/>
  <c r="A29" i="6"/>
  <c r="E28" i="6"/>
  <c r="A28" i="6"/>
  <c r="E27" i="6"/>
  <c r="A27" i="6"/>
  <c r="E26" i="6"/>
  <c r="A26" i="6"/>
  <c r="E25" i="6"/>
  <c r="A25" i="6"/>
  <c r="E24" i="6"/>
  <c r="A24" i="6"/>
  <c r="E23" i="6"/>
  <c r="A23" i="6"/>
  <c r="E22" i="6"/>
  <c r="A22" i="6"/>
  <c r="E21" i="6"/>
  <c r="A21" i="6"/>
  <c r="E20" i="6"/>
  <c r="A20" i="6"/>
  <c r="E19" i="6"/>
  <c r="A19" i="6"/>
  <c r="E18" i="6"/>
  <c r="A18" i="6"/>
  <c r="E17" i="6"/>
  <c r="A17" i="6"/>
  <c r="E16" i="6"/>
  <c r="A16" i="6"/>
  <c r="E15" i="6"/>
  <c r="A15" i="6"/>
  <c r="E14" i="6"/>
  <c r="A14" i="6"/>
  <c r="E13" i="6"/>
  <c r="A13" i="6"/>
  <c r="E12" i="6"/>
  <c r="A12" i="6"/>
  <c r="E11" i="6"/>
  <c r="A11" i="6"/>
  <c r="E10" i="6"/>
  <c r="A10" i="6"/>
  <c r="E9" i="6"/>
  <c r="A9" i="6"/>
  <c r="E8" i="6"/>
  <c r="A8" i="6"/>
  <c r="E7" i="6"/>
  <c r="A7" i="6"/>
  <c r="E6" i="6"/>
  <c r="A6" i="6"/>
  <c r="G5" i="5"/>
  <c r="G6" i="5" s="1"/>
  <c r="G7" i="5" s="1"/>
  <c r="G8" i="5" s="1"/>
  <c r="G9" i="5" s="1"/>
  <c r="G10" i="5" s="1"/>
  <c r="G11" i="5" s="1"/>
  <c r="G12" i="5" s="1"/>
  <c r="G13" i="5" s="1"/>
  <c r="G14" i="5" s="1"/>
  <c r="G15" i="5" s="1"/>
  <c r="G16" i="5" s="1"/>
  <c r="G17" i="5" s="1"/>
  <c r="G18" i="5" s="1"/>
  <c r="G19" i="5" s="1"/>
  <c r="G20" i="5" s="1"/>
  <c r="G21" i="5" s="1"/>
  <c r="G22" i="5" s="1"/>
  <c r="G23" i="5" s="1"/>
  <c r="G24" i="5" s="1"/>
  <c r="G25" i="5" s="1"/>
  <c r="G26" i="5" s="1"/>
  <c r="G27" i="5" s="1"/>
  <c r="G28" i="5" s="1"/>
  <c r="G29" i="5" s="1"/>
  <c r="G30" i="5" s="1"/>
  <c r="G31" i="5" s="1"/>
  <c r="G32" i="5" s="1"/>
  <c r="G33" i="5" s="1"/>
  <c r="G34" i="5" s="1"/>
  <c r="G35" i="5" s="1"/>
  <c r="G36" i="5" s="1"/>
  <c r="G37" i="5" s="1"/>
  <c r="G38" i="5" s="1"/>
  <c r="G39" i="5" s="1"/>
  <c r="F5" i="5"/>
  <c r="F6" i="5" s="1"/>
  <c r="F7" i="5" s="1"/>
  <c r="F8" i="5" s="1"/>
  <c r="F9" i="5" s="1"/>
  <c r="F10" i="5" s="1"/>
  <c r="F11" i="5" s="1"/>
  <c r="F12" i="5" s="1"/>
  <c r="F13" i="5" s="1"/>
  <c r="F14" i="5" s="1"/>
  <c r="F15" i="5" s="1"/>
  <c r="F16" i="5" s="1"/>
  <c r="F17" i="5" s="1"/>
  <c r="F18" i="5" s="1"/>
  <c r="F19" i="5" s="1"/>
  <c r="F20" i="5" s="1"/>
  <c r="F21" i="5" s="1"/>
  <c r="F22" i="5" s="1"/>
  <c r="F23" i="5" s="1"/>
  <c r="F24" i="5" s="1"/>
  <c r="F25" i="5" s="1"/>
  <c r="F26" i="5" s="1"/>
  <c r="F27" i="5" s="1"/>
  <c r="F28" i="5" s="1"/>
  <c r="F29" i="5" s="1"/>
  <c r="F30" i="5" s="1"/>
  <c r="F31" i="5" s="1"/>
  <c r="F32" i="5" s="1"/>
  <c r="F33" i="5" s="1"/>
  <c r="F34" i="5" s="1"/>
  <c r="F35" i="5" s="1"/>
  <c r="F36" i="5" s="1"/>
  <c r="F37" i="5" s="1"/>
  <c r="F38" i="5" s="1"/>
  <c r="F39" i="5" s="1"/>
  <c r="D5" i="5"/>
  <c r="D6" i="5" s="1"/>
  <c r="D7" i="5" s="1"/>
  <c r="D8" i="5" s="1"/>
  <c r="D9" i="5" s="1"/>
  <c r="B5" i="5"/>
  <c r="B6" i="5" s="1"/>
  <c r="B7" i="5" s="1"/>
  <c r="B8" i="5" s="1"/>
  <c r="B9" i="5" s="1"/>
  <c r="B10" i="5" s="1"/>
  <c r="B11" i="5" s="1"/>
  <c r="B12" i="5" s="1"/>
  <c r="B13" i="5" s="1"/>
  <c r="B14" i="5" s="1"/>
  <c r="B15" i="5" s="1"/>
  <c r="B16" i="5" s="1"/>
  <c r="B17" i="5" s="1"/>
  <c r="B18" i="5" s="1"/>
  <c r="B19" i="5" s="1"/>
  <c r="B20" i="5" s="1"/>
  <c r="B21" i="5" s="1"/>
  <c r="B22" i="5" s="1"/>
  <c r="B23" i="5" s="1"/>
  <c r="B24" i="5" s="1"/>
  <c r="B25" i="5" s="1"/>
  <c r="B26" i="5" s="1"/>
  <c r="B27" i="5" s="1"/>
  <c r="B28" i="5" s="1"/>
  <c r="B29" i="5" s="1"/>
  <c r="B30" i="5" s="1"/>
  <c r="B31" i="5" s="1"/>
  <c r="B32" i="5" s="1"/>
  <c r="B33" i="5" s="1"/>
  <c r="B34" i="5" s="1"/>
  <c r="B35" i="5" s="1"/>
  <c r="B36" i="5" s="1"/>
  <c r="B37" i="5" s="1"/>
  <c r="B38" i="5" s="1"/>
  <c r="B39" i="5" s="1"/>
  <c r="D18" i="4"/>
  <c r="D19" i="4" s="1"/>
  <c r="B18" i="4"/>
  <c r="D13" i="4"/>
  <c r="B13" i="4"/>
  <c r="D12" i="4"/>
  <c r="B12" i="4"/>
  <c r="D11" i="4"/>
  <c r="B11" i="4"/>
  <c r="D10" i="4"/>
  <c r="B10" i="4"/>
  <c r="D9" i="4"/>
  <c r="B9" i="4"/>
  <c r="D8" i="4"/>
  <c r="C8" i="4"/>
  <c r="E8" i="4" s="1"/>
  <c r="C9" i="4" s="1"/>
  <c r="E9" i="4" s="1"/>
  <c r="C10" i="4" s="1"/>
  <c r="E10" i="4" s="1"/>
  <c r="C11" i="4" s="1"/>
  <c r="E11" i="4" s="1"/>
  <c r="C12" i="4" s="1"/>
  <c r="E12" i="4" s="1"/>
  <c r="C13" i="4" s="1"/>
  <c r="E13" i="4" s="1"/>
  <c r="F18" i="4" s="1"/>
  <c r="B8" i="4"/>
  <c r="B11" i="3"/>
  <c r="B10" i="3"/>
  <c r="B7" i="3"/>
  <c r="B6" i="3"/>
  <c r="B57" i="2"/>
  <c r="H5" i="5" s="1"/>
  <c r="H6" i="5" s="1"/>
  <c r="H7" i="5" s="1"/>
  <c r="H8" i="5" s="1"/>
  <c r="H9" i="5" s="1"/>
  <c r="H10" i="5" s="1"/>
  <c r="H11" i="5" s="1"/>
  <c r="H12" i="5" s="1"/>
  <c r="H13" i="5" s="1"/>
  <c r="H14" i="5" s="1"/>
  <c r="H15" i="5" s="1"/>
  <c r="H16" i="5" s="1"/>
  <c r="H17" i="5" s="1"/>
  <c r="H18" i="5" s="1"/>
  <c r="H19" i="5" s="1"/>
  <c r="H20" i="5" s="1"/>
  <c r="H21" i="5" s="1"/>
  <c r="H22" i="5" s="1"/>
  <c r="H23" i="5" s="1"/>
  <c r="H24" i="5" s="1"/>
  <c r="H25" i="5" s="1"/>
  <c r="H26" i="5" s="1"/>
  <c r="H27" i="5" s="1"/>
  <c r="H28" i="5" s="1"/>
  <c r="H29" i="5" s="1"/>
  <c r="H30" i="5" s="1"/>
  <c r="H31" i="5" s="1"/>
  <c r="H32" i="5" s="1"/>
  <c r="H33" i="5" s="1"/>
  <c r="H34" i="5" s="1"/>
  <c r="H35" i="5" s="1"/>
  <c r="H36" i="5" s="1"/>
  <c r="H37" i="5" s="1"/>
  <c r="H38" i="5" s="1"/>
  <c r="H39" i="5" s="1"/>
  <c r="B7" i="2"/>
  <c r="B8" i="7" s="1"/>
  <c r="B5" i="2"/>
  <c r="B22" i="8" s="1"/>
  <c r="E18" i="4" l="1"/>
  <c r="H18" i="4" s="1"/>
  <c r="D6" i="6" s="1"/>
  <c r="F6" i="6" s="1"/>
  <c r="D20" i="4"/>
  <c r="E19" i="4"/>
  <c r="H19" i="4" s="1"/>
  <c r="D7" i="6" s="1"/>
  <c r="F7" i="6" s="1"/>
  <c r="D10" i="5"/>
  <c r="B9" i="8"/>
  <c r="C10" i="7"/>
  <c r="B14" i="3"/>
  <c r="D11" i="7"/>
  <c r="D21" i="7" s="1"/>
  <c r="C11" i="7"/>
  <c r="C21" i="7" s="1"/>
  <c r="C18" i="4"/>
  <c r="B11" i="8"/>
  <c r="B10" i="7"/>
  <c r="C5" i="5"/>
  <c r="D10" i="7"/>
  <c r="D12" i="7"/>
  <c r="C12" i="7"/>
  <c r="B12" i="7"/>
  <c r="B13" i="8"/>
  <c r="D8" i="7"/>
  <c r="C8" i="7"/>
  <c r="B11" i="7"/>
  <c r="B21" i="7" s="1"/>
  <c r="B15" i="3"/>
  <c r="B6" i="6"/>
  <c r="B19" i="4"/>
  <c r="G18" i="4" l="1"/>
  <c r="F19" i="4" s="1"/>
  <c r="G19" i="4" s="1"/>
  <c r="F20" i="4" s="1"/>
  <c r="G20" i="4" s="1"/>
  <c r="F21" i="4" s="1"/>
  <c r="D11" i="5"/>
  <c r="B20" i="4"/>
  <c r="B7" i="6"/>
  <c r="C6" i="6"/>
  <c r="C19" i="4"/>
  <c r="C6" i="5"/>
  <c r="C7" i="5" s="1"/>
  <c r="C8" i="5" s="1"/>
  <c r="C9" i="5" s="1"/>
  <c r="C10" i="5" s="1"/>
  <c r="C11" i="5" s="1"/>
  <c r="C12" i="5" s="1"/>
  <c r="C13" i="5" s="1"/>
  <c r="C14" i="5" s="1"/>
  <c r="C15" i="5" s="1"/>
  <c r="C16" i="5" s="1"/>
  <c r="C17" i="5" s="1"/>
  <c r="C18" i="5" s="1"/>
  <c r="C19" i="5" s="1"/>
  <c r="C20" i="5" s="1"/>
  <c r="C21" i="5" s="1"/>
  <c r="C22" i="5" s="1"/>
  <c r="C23" i="5" s="1"/>
  <c r="C24" i="5" s="1"/>
  <c r="C25" i="5" s="1"/>
  <c r="C26" i="5" s="1"/>
  <c r="C27" i="5" s="1"/>
  <c r="C28" i="5" s="1"/>
  <c r="C29" i="5" s="1"/>
  <c r="C30" i="5" s="1"/>
  <c r="C31" i="5" s="1"/>
  <c r="C32" i="5" s="1"/>
  <c r="C33" i="5" s="1"/>
  <c r="C34" i="5" s="1"/>
  <c r="C35" i="5" s="1"/>
  <c r="C36" i="5" s="1"/>
  <c r="C37" i="5" s="1"/>
  <c r="C38" i="5" s="1"/>
  <c r="C39" i="5" s="1"/>
  <c r="E5" i="5"/>
  <c r="D21" i="4"/>
  <c r="E20" i="4"/>
  <c r="H20" i="4" s="1"/>
  <c r="D8" i="6" s="1"/>
  <c r="F8" i="6" s="1"/>
  <c r="B8" i="6" l="1"/>
  <c r="B21" i="4"/>
  <c r="D12" i="5"/>
  <c r="E6" i="5"/>
  <c r="I5" i="5"/>
  <c r="D22" i="4"/>
  <c r="E21" i="4"/>
  <c r="H21" i="4" s="1"/>
  <c r="D9" i="6" s="1"/>
  <c r="F9" i="6" s="1"/>
  <c r="C20" i="4"/>
  <c r="C7" i="6"/>
  <c r="G21" i="4" l="1"/>
  <c r="F22" i="4" s="1"/>
  <c r="B22" i="4"/>
  <c r="B9" i="6"/>
  <c r="D13" i="5"/>
  <c r="C8" i="6"/>
  <c r="C21" i="4"/>
  <c r="E22" i="4"/>
  <c r="H22" i="4" s="1"/>
  <c r="D10" i="6" s="1"/>
  <c r="F10" i="6" s="1"/>
  <c r="D23" i="4"/>
  <c r="E7" i="5"/>
  <c r="I6" i="5"/>
  <c r="E8" i="5" l="1"/>
  <c r="I7" i="5"/>
  <c r="G22" i="4"/>
  <c r="F23" i="4" s="1"/>
  <c r="E23" i="4"/>
  <c r="H23" i="4" s="1"/>
  <c r="D11" i="6" s="1"/>
  <c r="F11" i="6" s="1"/>
  <c r="D24" i="4"/>
  <c r="D14" i="5"/>
  <c r="C22" i="4"/>
  <c r="C9" i="6"/>
  <c r="B10" i="6"/>
  <c r="B23" i="4"/>
  <c r="C23" i="4" l="1"/>
  <c r="C10" i="6"/>
  <c r="D15" i="5"/>
  <c r="B11" i="6"/>
  <c r="B24" i="4"/>
  <c r="E24" i="4"/>
  <c r="H24" i="4" s="1"/>
  <c r="D12" i="6" s="1"/>
  <c r="F12" i="6" s="1"/>
  <c r="D25" i="4"/>
  <c r="G23" i="4"/>
  <c r="F24" i="4" s="1"/>
  <c r="E9" i="5"/>
  <c r="I8" i="5"/>
  <c r="B12" i="6" l="1"/>
  <c r="B25" i="4"/>
  <c r="D16" i="5"/>
  <c r="C11" i="6"/>
  <c r="C24" i="4"/>
  <c r="E10" i="5"/>
  <c r="I9" i="5"/>
  <c r="G24" i="4"/>
  <c r="F25" i="4" s="1"/>
  <c r="E25" i="4"/>
  <c r="H25" i="4" s="1"/>
  <c r="D13" i="6" s="1"/>
  <c r="F13" i="6" s="1"/>
  <c r="D26" i="4"/>
  <c r="E11" i="5" l="1"/>
  <c r="I10" i="5"/>
  <c r="E26" i="4"/>
  <c r="H26" i="4" s="1"/>
  <c r="D14" i="6" s="1"/>
  <c r="F14" i="6" s="1"/>
  <c r="D27" i="4"/>
  <c r="C12" i="6"/>
  <c r="C25" i="4"/>
  <c r="D17" i="5"/>
  <c r="B13" i="6"/>
  <c r="B26" i="4"/>
  <c r="G25" i="4"/>
  <c r="F26" i="4" s="1"/>
  <c r="G26" i="4" l="1"/>
  <c r="F27" i="4" s="1"/>
  <c r="G27" i="4" s="1"/>
  <c r="F28" i="4" s="1"/>
  <c r="B14" i="6"/>
  <c r="B27" i="4"/>
  <c r="C13" i="6"/>
  <c r="C26" i="4"/>
  <c r="E12" i="5"/>
  <c r="I11" i="5"/>
  <c r="D28" i="4"/>
  <c r="E27" i="4"/>
  <c r="H27" i="4" s="1"/>
  <c r="D15" i="6" s="1"/>
  <c r="F15" i="6" s="1"/>
  <c r="D18" i="5"/>
  <c r="E13" i="5" l="1"/>
  <c r="I12" i="5"/>
  <c r="D29" i="4"/>
  <c r="E28" i="4"/>
  <c r="H28" i="4" s="1"/>
  <c r="D16" i="6" s="1"/>
  <c r="F16" i="6" s="1"/>
  <c r="C14" i="6"/>
  <c r="C27" i="4"/>
  <c r="D19" i="5"/>
  <c r="B28" i="4"/>
  <c r="B15" i="6"/>
  <c r="G28" i="4" l="1"/>
  <c r="F29" i="4" s="1"/>
  <c r="D20" i="5"/>
  <c r="D30" i="4"/>
  <c r="E29" i="4"/>
  <c r="H29" i="4" s="1"/>
  <c r="D17" i="6" s="1"/>
  <c r="F17" i="6" s="1"/>
  <c r="C28" i="4"/>
  <c r="C15" i="6"/>
  <c r="B16" i="6"/>
  <c r="B29" i="4"/>
  <c r="E14" i="5"/>
  <c r="I13" i="5"/>
  <c r="G29" i="4" l="1"/>
  <c r="F30" i="4" s="1"/>
  <c r="C29" i="4"/>
  <c r="C16" i="6"/>
  <c r="E30" i="4"/>
  <c r="H30" i="4" s="1"/>
  <c r="D18" i="6" s="1"/>
  <c r="F18" i="6" s="1"/>
  <c r="D31" i="4"/>
  <c r="E15" i="5"/>
  <c r="I14" i="5"/>
  <c r="B17" i="6"/>
  <c r="B30" i="4"/>
  <c r="D21" i="5"/>
  <c r="E16" i="5" l="1"/>
  <c r="I15" i="5"/>
  <c r="E31" i="4"/>
  <c r="H31" i="4" s="1"/>
  <c r="D19" i="6" s="1"/>
  <c r="F19" i="6" s="1"/>
  <c r="D32" i="4"/>
  <c r="G30" i="4"/>
  <c r="F31" i="4" s="1"/>
  <c r="D22" i="5"/>
  <c r="B18" i="6"/>
  <c r="B31" i="4"/>
  <c r="C17" i="6"/>
  <c r="C30" i="4"/>
  <c r="G31" i="4" l="1"/>
  <c r="F32" i="4" s="1"/>
  <c r="D23" i="5"/>
  <c r="E32" i="4"/>
  <c r="H32" i="4" s="1"/>
  <c r="D20" i="6" s="1"/>
  <c r="F20" i="6" s="1"/>
  <c r="D33" i="4"/>
  <c r="C31" i="4"/>
  <c r="C18" i="6"/>
  <c r="B19" i="6"/>
  <c r="B32" i="4"/>
  <c r="E17" i="5"/>
  <c r="I16" i="5"/>
  <c r="E33" i="4" l="1"/>
  <c r="H33" i="4" s="1"/>
  <c r="D21" i="6" s="1"/>
  <c r="F21" i="6" s="1"/>
  <c r="D34" i="4"/>
  <c r="E18" i="5"/>
  <c r="I17" i="5"/>
  <c r="C32" i="4"/>
  <c r="C19" i="6"/>
  <c r="G32" i="4"/>
  <c r="F33" i="4" s="1"/>
  <c r="G33" i="4" s="1"/>
  <c r="F34" i="4" s="1"/>
  <c r="B20" i="6"/>
  <c r="B33" i="4"/>
  <c r="D24" i="5"/>
  <c r="E19" i="5" l="1"/>
  <c r="I18" i="5"/>
  <c r="B13" i="7" s="1"/>
  <c r="B15" i="7" s="1"/>
  <c r="B16" i="7" s="1"/>
  <c r="C20" i="6"/>
  <c r="C33" i="4"/>
  <c r="E34" i="4"/>
  <c r="H34" i="4" s="1"/>
  <c r="D22" i="6" s="1"/>
  <c r="F22" i="6" s="1"/>
  <c r="D35" i="4"/>
  <c r="D25" i="5"/>
  <c r="B34" i="4"/>
  <c r="B21" i="6"/>
  <c r="D26" i="5" l="1"/>
  <c r="D36" i="4"/>
  <c r="E35" i="4"/>
  <c r="H35" i="4" s="1"/>
  <c r="D23" i="6" s="1"/>
  <c r="F23" i="6" s="1"/>
  <c r="C21" i="6"/>
  <c r="C34" i="4"/>
  <c r="G34" i="4"/>
  <c r="F35" i="4" s="1"/>
  <c r="G35" i="4" s="1"/>
  <c r="F36" i="4" s="1"/>
  <c r="B22" i="6"/>
  <c r="B35" i="4"/>
  <c r="E20" i="5"/>
  <c r="I19" i="5"/>
  <c r="C22" i="6" l="1"/>
  <c r="C35" i="4"/>
  <c r="E36" i="4"/>
  <c r="H36" i="4" s="1"/>
  <c r="D24" i="6" s="1"/>
  <c r="F24" i="6" s="1"/>
  <c r="D37" i="4"/>
  <c r="E21" i="5"/>
  <c r="I20" i="5"/>
  <c r="D27" i="5"/>
  <c r="B36" i="4"/>
  <c r="B23" i="6"/>
  <c r="E22" i="5" l="1"/>
  <c r="I21" i="5"/>
  <c r="D38" i="4"/>
  <c r="E37" i="4"/>
  <c r="H37" i="4" s="1"/>
  <c r="D25" i="6" s="1"/>
  <c r="F25" i="6" s="1"/>
  <c r="C23" i="6"/>
  <c r="C36" i="4"/>
  <c r="B37" i="4"/>
  <c r="B24" i="6"/>
  <c r="D28" i="5"/>
  <c r="G36" i="4"/>
  <c r="F37" i="4" s="1"/>
  <c r="B25" i="6" l="1"/>
  <c r="B38" i="4"/>
  <c r="C37" i="4"/>
  <c r="C24" i="6"/>
  <c r="G37" i="4"/>
  <c r="F38" i="4" s="1"/>
  <c r="E38" i="4"/>
  <c r="H38" i="4" s="1"/>
  <c r="D26" i="6" s="1"/>
  <c r="F26" i="6" s="1"/>
  <c r="D39" i="4"/>
  <c r="B20" i="8"/>
  <c r="C13" i="7"/>
  <c r="D29" i="5"/>
  <c r="E23" i="5"/>
  <c r="I22" i="5"/>
  <c r="C15" i="7" l="1"/>
  <c r="C16" i="7" s="1"/>
  <c r="C14" i="7"/>
  <c r="C20" i="7" s="1"/>
  <c r="E39" i="4"/>
  <c r="H39" i="4" s="1"/>
  <c r="D27" i="6" s="1"/>
  <c r="F27" i="6" s="1"/>
  <c r="D40" i="4"/>
  <c r="E24" i="5"/>
  <c r="I23" i="5"/>
  <c r="C25" i="6"/>
  <c r="C38" i="4"/>
  <c r="D30" i="5"/>
  <c r="B26" i="6"/>
  <c r="B39" i="4"/>
  <c r="G38" i="4"/>
  <c r="F39" i="4" s="1"/>
  <c r="C26" i="6" l="1"/>
  <c r="C39" i="4"/>
  <c r="E25" i="5"/>
  <c r="I24" i="5"/>
  <c r="D31" i="5"/>
  <c r="G39" i="4"/>
  <c r="F40" i="4" s="1"/>
  <c r="G40" i="4" s="1"/>
  <c r="F41" i="4" s="1"/>
  <c r="B40" i="4"/>
  <c r="B27" i="6"/>
  <c r="D41" i="4"/>
  <c r="E40" i="4"/>
  <c r="H40" i="4" s="1"/>
  <c r="D28" i="6" s="1"/>
  <c r="F28" i="6" s="1"/>
  <c r="B28" i="6" l="1"/>
  <c r="B41" i="4"/>
  <c r="D32" i="5"/>
  <c r="E26" i="5"/>
  <c r="I25" i="5"/>
  <c r="E41" i="4"/>
  <c r="H41" i="4" s="1"/>
  <c r="D29" i="6" s="1"/>
  <c r="F29" i="6" s="1"/>
  <c r="D42" i="4"/>
  <c r="C40" i="4"/>
  <c r="C27" i="6"/>
  <c r="E27" i="5" l="1"/>
  <c r="I26" i="5"/>
  <c r="D33" i="5"/>
  <c r="G41" i="4"/>
  <c r="F42" i="4" s="1"/>
  <c r="G42" i="4" s="1"/>
  <c r="F43" i="4" s="1"/>
  <c r="C28" i="6"/>
  <c r="C41" i="4"/>
  <c r="B29" i="6"/>
  <c r="B42" i="4"/>
  <c r="E42" i="4"/>
  <c r="H42" i="4" s="1"/>
  <c r="D30" i="6" s="1"/>
  <c r="F30" i="6" s="1"/>
  <c r="D43" i="4"/>
  <c r="C29" i="6" l="1"/>
  <c r="C42" i="4"/>
  <c r="D44" i="4"/>
  <c r="E43" i="4"/>
  <c r="H43" i="4" s="1"/>
  <c r="D31" i="6" s="1"/>
  <c r="F31" i="6" s="1"/>
  <c r="D34" i="5"/>
  <c r="B30" i="6"/>
  <c r="B43" i="4"/>
  <c r="E28" i="5"/>
  <c r="I27" i="5"/>
  <c r="D35" i="5" l="1"/>
  <c r="D45" i="4"/>
  <c r="E44" i="4"/>
  <c r="H44" i="4" s="1"/>
  <c r="D32" i="6" s="1"/>
  <c r="F32" i="6" s="1"/>
  <c r="C30" i="6"/>
  <c r="C43" i="4"/>
  <c r="E29" i="5"/>
  <c r="I28" i="5"/>
  <c r="D13" i="7" s="1"/>
  <c r="D15" i="7" s="1"/>
  <c r="D16" i="7" s="1"/>
  <c r="B44" i="4"/>
  <c r="B31" i="6"/>
  <c r="G43" i="4"/>
  <c r="F44" i="4" s="1"/>
  <c r="E30" i="5" l="1"/>
  <c r="I29" i="5"/>
  <c r="C31" i="6"/>
  <c r="C44" i="4"/>
  <c r="G44" i="4"/>
  <c r="F45" i="4" s="1"/>
  <c r="D46" i="4"/>
  <c r="E45" i="4"/>
  <c r="H45" i="4" s="1"/>
  <c r="D33" i="6" s="1"/>
  <c r="F33" i="6" s="1"/>
  <c r="D36" i="5"/>
  <c r="B45" i="4"/>
  <c r="B32" i="6"/>
  <c r="D37" i="5" l="1"/>
  <c r="E46" i="4"/>
  <c r="H46" i="4" s="1"/>
  <c r="D34" i="6" s="1"/>
  <c r="F34" i="6" s="1"/>
  <c r="D47" i="4"/>
  <c r="G45" i="4"/>
  <c r="F46" i="4" s="1"/>
  <c r="G46" i="4" s="1"/>
  <c r="F47" i="4" s="1"/>
  <c r="C45" i="4"/>
  <c r="C32" i="6"/>
  <c r="B33" i="6"/>
  <c r="B46" i="4"/>
  <c r="E31" i="5"/>
  <c r="I30" i="5"/>
  <c r="E47" i="4" l="1"/>
  <c r="H47" i="4" s="1"/>
  <c r="D35" i="6" s="1"/>
  <c r="F35" i="6" s="1"/>
  <c r="D48" i="4"/>
  <c r="C33" i="6"/>
  <c r="C46" i="4"/>
  <c r="E32" i="5"/>
  <c r="I31" i="5"/>
  <c r="B34" i="6"/>
  <c r="B47" i="4"/>
  <c r="D38" i="5"/>
  <c r="D49" i="4" l="1"/>
  <c r="E48" i="4"/>
  <c r="H48" i="4" s="1"/>
  <c r="D36" i="6" s="1"/>
  <c r="F36" i="6" s="1"/>
  <c r="E33" i="5"/>
  <c r="I32" i="5"/>
  <c r="C34" i="6"/>
  <c r="C47" i="4"/>
  <c r="D39" i="5"/>
  <c r="B48" i="4"/>
  <c r="B35" i="6"/>
  <c r="G47" i="4"/>
  <c r="F48" i="4" s="1"/>
  <c r="C48" i="4" l="1"/>
  <c r="C35" i="6"/>
  <c r="G48" i="4"/>
  <c r="F49" i="4" s="1"/>
  <c r="E34" i="5"/>
  <c r="I33" i="5"/>
  <c r="B49" i="4"/>
  <c r="B36" i="6"/>
  <c r="E49" i="4"/>
  <c r="H49" i="4" s="1"/>
  <c r="D37" i="6" s="1"/>
  <c r="F37" i="6" s="1"/>
  <c r="D50" i="4"/>
  <c r="G49" i="4" l="1"/>
  <c r="F50" i="4" s="1"/>
  <c r="E35" i="5"/>
  <c r="I34" i="5"/>
  <c r="B37" i="6"/>
  <c r="B50" i="4"/>
  <c r="E50" i="4"/>
  <c r="H50" i="4" s="1"/>
  <c r="D38" i="6" s="1"/>
  <c r="F38" i="6" s="1"/>
  <c r="D51" i="4"/>
  <c r="C49" i="4"/>
  <c r="C36" i="6"/>
  <c r="C37" i="6" l="1"/>
  <c r="C50" i="4"/>
  <c r="D52" i="4"/>
  <c r="E52" i="4" s="1"/>
  <c r="H52" i="4" s="1"/>
  <c r="D40" i="6" s="1"/>
  <c r="F40" i="6" s="1"/>
  <c r="E51" i="4"/>
  <c r="H51" i="4" s="1"/>
  <c r="D39" i="6" s="1"/>
  <c r="F39" i="6" s="1"/>
  <c r="G50" i="4"/>
  <c r="F51" i="4" s="1"/>
  <c r="G51" i="4" s="1"/>
  <c r="F52" i="4" s="1"/>
  <c r="G52" i="4" s="1"/>
  <c r="B38" i="6"/>
  <c r="B51" i="4"/>
  <c r="E36" i="5"/>
  <c r="I35" i="5"/>
  <c r="E37" i="5" l="1"/>
  <c r="I36" i="5"/>
  <c r="B52" i="4"/>
  <c r="B40" i="6" s="1"/>
  <c r="B39" i="6"/>
  <c r="C38" i="6"/>
  <c r="C51" i="4"/>
  <c r="C52" i="4" l="1"/>
  <c r="D7" i="7" s="1"/>
  <c r="C39" i="6"/>
  <c r="E38" i="5"/>
  <c r="I37" i="5"/>
  <c r="B7" i="7" l="1"/>
  <c r="C7" i="7"/>
  <c r="C9" i="7" s="1"/>
  <c r="C19" i="7" s="1"/>
  <c r="E39" i="5"/>
  <c r="I39" i="5" s="1"/>
  <c r="I38" i="5"/>
  <c r="C40" i="6"/>
  <c r="B9" i="7"/>
  <c r="B19" i="7" s="1"/>
  <c r="B10" i="8"/>
  <c r="B12" i="8" s="1"/>
  <c r="B15" i="8" s="1"/>
  <c r="B18" i="8" s="1"/>
  <c r="B19" i="8" s="1"/>
  <c r="B21" i="8" s="1"/>
  <c r="D9" i="7"/>
  <c r="D19" i="7" s="1"/>
  <c r="D16" i="9" l="1"/>
  <c r="D17" i="9" s="1"/>
  <c r="D23" i="7"/>
  <c r="C16" i="9"/>
  <c r="C17" i="9" s="1"/>
  <c r="C23" i="7"/>
  <c r="B16" i="9"/>
  <c r="B17" i="9" s="1"/>
  <c r="B23" i="7"/>
  <c r="D27" i="8"/>
  <c r="C27" i="8"/>
  <c r="B27" i="8"/>
</calcChain>
</file>

<file path=xl/sharedStrings.xml><?xml version="1.0" encoding="utf-8"?>
<sst xmlns="http://schemas.openxmlformats.org/spreadsheetml/2006/main" count="441" uniqueCount="398">
  <si>
    <t>NHS + Private Pension Retirement Modeller — Product Spec (v0.1)</t>
  </si>
  <si>
    <t>This workbook is the working spec / calculation engine for the pension planning tool. It combines NHS legacy scheme benefits (1995/2008), the 2015 CARE scheme, and private pensions (SIPP, LISA, S&amp;S ISA) into combined retirement income projections at different retirement ages.</t>
  </si>
  <si>
    <t>How to use this workbook</t>
  </si>
  <si>
    <t>1. Inputs</t>
  </si>
  <si>
    <t>Enter your own figures (blue cells) on the 'Inputs' tab. Everything else calculates automatically.</t>
  </si>
  <si>
    <t>2. Legacy Scheme (1995-2008)</t>
  </si>
  <si>
    <t>Static calculation of any 1995/2008 Section benefits already built up (pre-2015).</t>
  </si>
  <si>
    <t>3. 2015 CARE Projection</t>
  </si>
  <si>
    <t>Year-by-year projection of your 2015 Scheme CARE pot from your last TRS/ABS balance to your chosen retirement ages.</t>
  </si>
  <si>
    <t>4. Private Pensions Projection</t>
  </si>
  <si>
    <t>Year-by-year growth of SIPP, LISA and S&amp;S ISA balances.</t>
  </si>
  <si>
    <t>5. Annual Allowance Check</t>
  </si>
  <si>
    <t>Approximate check of pension input amounts against the Annual Allowance each year.</t>
  </si>
  <si>
    <t>6. Scenario Summary</t>
  </si>
  <si>
    <t>Combined retirement income at three retirement ages you choose, side by side.</t>
  </si>
  <si>
    <t>7. Assumptions &amp; Sources</t>
  </si>
  <si>
    <t>Every assumed rate, with a note on where it came from and when it should be revisited.</t>
  </si>
  <si>
    <t>IMPORTANT — Guidance, not advice</t>
  </si>
  <si>
    <t>This workbook (and the app built from it) shows PROJECTIONS based on numbers and assumptions you enter. It does not tell you what to do, and it is not a personal recommendation. Nothing here should be treated as financial advice. For a decision tailored to your circumstances, speak to a regulated financial adviser — ideally one with NHS pension experience.</t>
  </si>
  <si>
    <t>Key simplification re: McCloud remedy</t>
  </si>
  <si>
    <t>Since October 2023 all active members sit in the 2015 Scheme, and NHS Pensions automatically compares legacy vs. 2015 scheme benefits for your remedy-period service (1 Apr 2015 - 31 Mar 2022) at the point you claim benefits, applying whichever is higher. This means your CARE opening balance from your TRS/ABS should already reflect this. This model does NOT re-run that comparison — it takes your TRS/ABS figures as the starting point. This is a deliberate simplification worth flagging clearly to users.</t>
  </si>
  <si>
    <t>Inputs</t>
  </si>
  <si>
    <t>PERSONAL</t>
  </si>
  <si>
    <t>Date of birth</t>
  </si>
  <si>
    <t>Used to calculate your current age and State Pension age automatically below</t>
  </si>
  <si>
    <t>Current age (calculated)</t>
  </si>
  <si>
    <t>Calculated automatically from your date of birth — whole years</t>
  </si>
  <si>
    <t>Current tax year (start year)</t>
  </si>
  <si>
    <t>e.g. 2026 for the 2026/27 tax year</t>
  </si>
  <si>
    <t>State Pension Age (calculated)</t>
  </si>
  <si>
    <t>Applies the legislated bands (66 / transitional-to-67 / 67 / 68). The transitional band (born 6 Apr 1960 - 5 Mar 1961) is simplified to 67 here — check your exact date at gov.uk/state-pension-age. The rise to 68 (born on/after 6 Apr 1977) is law but could still move.</t>
  </si>
  <si>
    <t>Estimated full State Pension (annual)</t>
  </si>
  <si>
    <t>Defaulted to the 2026/27 full new State Pension. Get YOUR real figure from your gov.uk State Pension forecast — it's lower if you have gaps in your National Insurance record (need 35 qualifying years for the full amount, 10 minimum to get anything).</t>
  </si>
  <si>
    <t>NHS LEGACY SCHEME (1995 / 2008 Section) — pre-2015 service</t>
  </si>
  <si>
    <t>Enter these straight from your TRS/ABS 'Standard Benefits' table — no need to calculate years/final pay yourself.</t>
  </si>
  <si>
    <t>1995 Section — Pension (current value from TRS)</t>
  </si>
  <si>
    <t>From the 'Pension' row of your 1995 Section Annual Benefit Statement. Leave as 0 if not applicable</t>
  </si>
  <si>
    <t>1995 Section — Lump Sum (current value from TRS)</t>
  </si>
  <si>
    <t>From the 'Lump Sum' row of your 1995 Section statement</t>
  </si>
  <si>
    <t>2008 Section — Pension (current value from TRS)</t>
  </si>
  <si>
    <t>From the 'Pension' row of your 2008 Section Annual Benefit Statement. Leave as 0 if not applicable</t>
  </si>
  <si>
    <t>2008 Section — Lump Sum (current value from TRS)</t>
  </si>
  <si>
    <t>Usually £0.00 on the statement — the 2008 Section has no automatic lump sum</t>
  </si>
  <si>
    <t>LEGACY PENSION GROWTH (final salary / dynamised income link)</t>
  </si>
  <si>
    <t>Continuous NHS pensionable service (no 5+ year break)?</t>
  </si>
  <si>
    <t>Yes</t>
  </si>
  <si>
    <t>As long as you don't have a 5+ year gap in NHS pensionable service, your 1995/2008 legacy benefits stay 'final salary linked' and keep growing in real terms every year until you claim them (see the rate below), rather than being frozen at your TRS/ABS value. Set to 'No' to model a career break breaking this link.</t>
  </si>
  <si>
    <t>Assumed legacy pension REAL growth rate p.a.</t>
  </si>
  <si>
    <t>For GPs, legacy benefits are uprated by 'dynamised income' — Pensions Increase (CPI) + 1.5%, with a floor of 1.5% even if CPI is nil/negative. In today's-money terms (stripping out CPI, as this whole model does), that's simply +1.5% real per year. If you're an Officer rather than a GP, your link is to current pay scales instead — which can occasionally undershoot inflation, so 1.5% may be optimistic for that case; adjust down if so.</t>
  </si>
  <si>
    <t>NHS 2015 SCHEME (CARE)</t>
  </si>
  <si>
    <t>2015 CARE pot — most recent TRS/ABS value</t>
  </si>
  <si>
    <t>Should already reflect McCloud remedy correction — see README</t>
  </si>
  <si>
    <t>...that TRS/ABS value is as at tax year ending</t>
  </si>
  <si>
    <t>TRS statements are often out of date — e.g. a statement 'Updated To 31/03/2024' means enter 2024 here. The model automatically brings your pot up to date using your current pay and the assumptions below, before projecting forward.</t>
  </si>
  <si>
    <t>Current annual pensionable pay</t>
  </si>
  <si>
    <t>Total pensionable earnings this year, all NHS posts combined</t>
  </si>
  <si>
    <t>Assumed REAL pay growth rate p.a. (above inflation)</t>
  </si>
  <si>
    <t>This is growth ABOVE inflation, not your total pay rise. AfC awards often just track or slightly beat inflation — 0-1.5% real is a reasonable long-run planning assumption. See Assumptions tab.</t>
  </si>
  <si>
    <t>Assumed CARE revaluation rate p.a. (REAL, above CPI)</t>
  </si>
  <si>
    <t>Scheme revalues at CPI + 1.5% — since this whole model works in today's money, use just the +1.5% real element here (not CPI + 1.5%). See Assumptions tab for why.</t>
  </si>
  <si>
    <t>2015 Scheme accrual rate (1/x)</t>
  </si>
  <si>
    <t>Standard rate is 1/54 of pensionable pay each year</t>
  </si>
  <si>
    <t>PRIVATE PENSIONS &amp; SAVINGS</t>
  </si>
  <si>
    <t>SIPP current balance</t>
  </si>
  <si>
    <t>SIPP annual contribution (gross, with tax relief)</t>
  </si>
  <si>
    <t>Find this on your provider's annual statement as 'gross contribution' or 'total contribution including tax relief'. If you pay in net (relief at source), gross = net x 1.25 (basic rate 20% relief is added automatically). If you're a higher/additional rate taxpayer, extra relief you claim via Self Assessment is a tax saving to you personally, but doesn't change this gross figure.</t>
  </si>
  <si>
    <t>SIPP assumed REAL growth rate p.a. (after inflation)</t>
  </si>
  <si>
    <t>See Assumptions tab for the historical reasoning behind this figure — it should reflect real, above-inflation returns, net of platform/fund charges, for your actual asset mix (not 100% equities).</t>
  </si>
  <si>
    <t>SIPP earliest access age</t>
  </si>
  <si>
    <t>Normal Minimum Pension Age — rising to 57 from April 2028</t>
  </si>
  <si>
    <t>LISA current balance</t>
  </si>
  <si>
    <t>LISA annual contribution</t>
  </si>
  <si>
    <t>£4,000 annual cap; 25% government bonus added separately below. You CANNOT open a new LISA after age 39, and your last eligible contribution year is age 49 — contributions automatically stop in the projection below from age 50, even though this cell still shows your figure. LISAs are also being phased out for NEW savers from ~April 2028 — see Assumptions tab for what this does and doesn't mean for you.</t>
  </si>
  <si>
    <t>LISA assumed REAL growth rate p.a. (after inflation)</t>
  </si>
  <si>
    <t>LISA access age (no penalty)</t>
  </si>
  <si>
    <t>S&amp;S ISA current balance</t>
  </si>
  <si>
    <t>S&amp;S ISA annual contribution</t>
  </si>
  <si>
    <t>S&amp;S ISA assumed REAL growth rate p.a. (after inflation)</t>
  </si>
  <si>
    <t>NHS ADDITIONAL PENSION (AP) &amp; AVCs</t>
  </si>
  <si>
    <t>Additional Pension (AP) purchased — annual amount</t>
  </si>
  <si>
    <t>Extra GUARANTEED annual NHS pension you've bought (up to ~£8,946/yr for 2026/27). Leave as 0 if you haven't bought any. This adds directly to your NHS income and is subject to the same early retirement reduction as your main 2015 Scheme pension (see ERRBO section below).</t>
  </si>
  <si>
    <t>NHS AVC current balance</t>
  </si>
  <si>
    <t>In-house Additional Voluntary Contributions — an INVESTED (not guaranteed) top-up within the NHS scheme. Leave as 0 if you don't have one.</t>
  </si>
  <si>
    <t>NHS AVC annual contribution</t>
  </si>
  <si>
    <t>NHS AVC assumed REAL growth rate p.a. (after inflation)</t>
  </si>
  <si>
    <t>EARLY RETIREMENT &amp; ERRBO</t>
  </si>
  <si>
    <t>ERRBO — years of reduction bought out</t>
  </si>
  <si>
    <t>Early Retirement Reduction Buy Out: lets 2015 Scheme members buy out some/all of the reduction for retiring before their Normal Pension Age. Enter how many years you've bought out (0 if none). This offsets the reduction applied for Scenarios claiming before your Normal Pension Age/State Pension Age.</t>
  </si>
  <si>
    <t>Assumed early retirement reduction p.a. (not bought out)</t>
  </si>
  <si>
    <t>Illustrative flat rate. NHSBSA's real reduction factors are non-linear (roughly 3-5%+ per year, increasing the further before Normal Pension Age) — check the exact factors on your TRS/ABS or NHSBSA's early retirement calculator for a precise figure. Only used if the toggle above is 'Yes'.</t>
  </si>
  <si>
    <t>GENERAL INVESTMENT ACCOUNT (GIA)</t>
  </si>
  <si>
    <t>GIA current balance</t>
  </si>
  <si>
    <t>Taxable investments held outside a pension or ISA — e.g. once you're maxing your £20,000 ISA allowance. Leave as 0 if not applicable.</t>
  </si>
  <si>
    <t>GIA annual contribution</t>
  </si>
  <si>
    <t>GIA assumed REAL growth rate p.a. (gross, before tax)</t>
  </si>
  <si>
    <t>Same reasoning as SIPP/ISA on the Assumptions tab — this is the pre-tax figure; tax drag is applied separately below</t>
  </si>
  <si>
    <t>Marginal tax rate (for GIA tax drag estimate)</t>
  </si>
  <si>
    <t>Basic (20%)</t>
  </si>
  <si>
    <t>Sets a default tax drag estimate below based on your tax band — see Assumptions tab for the reasoning</t>
  </si>
  <si>
    <t>Assumed annual tax drag on GIA growth (default from band above)</t>
  </si>
  <si>
    <t>Illustrative default — you can overtype this with your own estimate if you actively manage for tax efficiency (loss harvesting, using annual CGT/dividend allowances, Bed &amp; ISA)</t>
  </si>
  <si>
    <t>OLD / FROZEN PENSIONS</t>
  </si>
  <si>
    <t>Add any pensions from before the NHS (or other past employers). 3 slots below — the app version would let you add as many as you need.</t>
  </si>
  <si>
    <t>Old Pension 1</t>
  </si>
  <si>
    <t xml:space="preserve">  Type</t>
  </si>
  <si>
    <t>Blank</t>
  </si>
  <si>
    <t>Leave as 'Blank' if not applicable</t>
  </si>
  <si>
    <t xml:space="preserve">  DB: annual pension amount</t>
  </si>
  <si>
    <t>Only used if Type = Defined Benefit</t>
  </si>
  <si>
    <t xml:space="preserve">  DB: age payable from</t>
  </si>
  <si>
    <t xml:space="preserve">  DC: current balance</t>
  </si>
  <si>
    <t>Only used if Type = Defined Contribution</t>
  </si>
  <si>
    <t xml:space="preserve">  DC: assumed REAL growth rate p.a.</t>
  </si>
  <si>
    <t xml:space="preserve">  DC: access age</t>
  </si>
  <si>
    <t>Old Pension 2</t>
  </si>
  <si>
    <t>Old Pension 3</t>
  </si>
  <si>
    <t>ANNUAL ALLOWANCE</t>
  </si>
  <si>
    <t>Standard Annual Allowance</t>
  </si>
  <si>
    <t>2026/27 standard limit before any tapering</t>
  </si>
  <si>
    <t>High earner? (tapered Annual Allowance may apply)</t>
  </si>
  <si>
    <t>No</t>
  </si>
  <si>
    <t>Tick 'Yes' if your adjusted income (broadly: taxable income + all pension contributions) is likely to exceed £260,000</t>
  </si>
  <si>
    <t>Adjusted income (if high earner)</t>
  </si>
  <si>
    <t>Only used if 'High earner' above is Yes. Tapers your Annual Allowance down by £1 for every £2 over £260,000, to a minimum of £10,000.</t>
  </si>
  <si>
    <t>DRAWDOWN STRATEGY (SIPP/LISA/ISA/AVC/GIA)</t>
  </si>
  <si>
    <t>How will you draw your private pots?</t>
  </si>
  <si>
    <t>4% Safe Withdrawal (perpetual)</t>
  </si>
  <si>
    <t>'4% Safe Withdrawal' assumes the pot lasts indefinitely. 'Bridge' assumes you stop work at this scenario's age and deliberately spend your private pots down to zero by your State Pension Age, to give your NHS/State pensions longer to grow (or to avoid claiming your NHS pension early) — this gives a MUCH higher annual figure while it lasts, but nothing left over from these pots after that age. Combine with the early retirement reduction toggle above to model the full 'defer NHS pension, live off savings' strategy.</t>
  </si>
  <si>
    <t>SCENARIOS — retirement ages to compare</t>
  </si>
  <si>
    <t>For each Scenario, 'retirement age' is when you STOP WORKING. 'NHS pension claim age' is a SEPARATE choice — when you actually start drawing your NHS pension. They default to the same age (claim immediately). Increase the claim age above your retirement age to model stopping work early but deferring your NHS pension (living off your private pots in the meantime) to avoid or reduce the early retirement penalty.</t>
  </si>
  <si>
    <t>Scenario A — retirement age (stop working)</t>
  </si>
  <si>
    <t>e.g. Normal Minimum Pension Age</t>
  </si>
  <si>
    <t>Scenario A — NHS pension claim age</t>
  </si>
  <si>
    <t>Defaults to the same age (claim immediately). Increase to defer.</t>
  </si>
  <si>
    <t>Scenario B — retirement age (stop working)</t>
  </si>
  <si>
    <t>Scenario B — NHS pension claim age</t>
  </si>
  <si>
    <t>Scenario C — retirement age (stop working)</t>
  </si>
  <si>
    <t>e.g. State Pension Age</t>
  </si>
  <si>
    <t>Scenario C — NHS pension claim age</t>
  </si>
  <si>
    <t>TARGET RETIREMENT INCOME — how much more do I need to save?</t>
  </si>
  <si>
    <t>Target retirement income (annual, today's money)</t>
  </si>
  <si>
    <t>See the 'Target Income Calculator' tab for what this implies you'd need to save extra, each year, from now</t>
  </si>
  <si>
    <t>Age you want to retire on this income</t>
  </si>
  <si>
    <t>Assumed REAL growth rate on extra savings</t>
  </si>
  <si>
    <t>Central assumption for the calculator — it also shows a more cautious and more optimistic version either side of this</t>
  </si>
  <si>
    <t>RETIREMENT LIVING STANDARDS COMPARISON</t>
  </si>
  <si>
    <t>Household type</t>
  </si>
  <si>
    <t>One-person</t>
  </si>
  <si>
    <t>Used on the Retirement Living Standards tab to compare your projected income against PLSA/Pensions UK benchmarks</t>
  </si>
  <si>
    <t>Legacy Scheme (1995 / 2008 Section) — Static Benefits</t>
  </si>
  <si>
    <t>These sections stopped accruing new service from the point you moved to the 2015 Scheme (or 1 April 2015 / 31 March 2022 at the latest). Values are taken directly from your TRS/ABS 'Standard Benefits' table on the Inputs tab — no years/final-pay calculation needed.</t>
  </si>
  <si>
    <t>1995 Section</t>
  </si>
  <si>
    <t>Annual pension (from TRS/ABS)</t>
  </si>
  <si>
    <t>Lump sum (from TRS/ABS)</t>
  </si>
  <si>
    <t>2008 Section</t>
  </si>
  <si>
    <t>Usually £0.00 — the 2008 Section has no automatic lump sum, but can commute pension for cash at £12:£1</t>
  </si>
  <si>
    <t>TOTAL LEGACY</t>
  </si>
  <si>
    <t>Total legacy annual pension</t>
  </si>
  <si>
    <t>Total legacy lump sum</t>
  </si>
  <si>
    <t>2015 CARE Scheme — Year by Year Projection</t>
  </si>
  <si>
    <t>Projects your CARE pot forward from your last TRS/ABS balance to age 75.</t>
  </si>
  <si>
    <t>Catching up an out-of-date TRS/ABS balance</t>
  </si>
  <si>
    <t>The model assumes a TRS/ABS is typically about a year old, and Year 0 below already accounts for that. If yours is older than that (common — many are 1-3 years behind), these rows apply extra catch-up years using your current pay as a stand-in for the missing years' pay, before the main projection starts.</t>
  </si>
  <si>
    <t>Catch-up step</t>
  </si>
  <si>
    <t>Tax Year</t>
  </si>
  <si>
    <t>Pot at start</t>
  </si>
  <si>
    <t>Extra accrual (at current pay)</t>
  </si>
  <si>
    <t>Pot after this step</t>
  </si>
  <si>
    <t>If your TRS is more than 7 years out of date, extend this table or get an up-to-date statement from NHS Pensions Online before relying on these figures.</t>
  </si>
  <si>
    <t>Year #</t>
  </si>
  <si>
    <t>Age</t>
  </si>
  <si>
    <t>Pensionable Pay</t>
  </si>
  <si>
    <t>Accrual Added</t>
  </si>
  <si>
    <t>Opening Pot Revalued</t>
  </si>
  <si>
    <t>Closing Pot</t>
  </si>
  <si>
    <t>PIA (approx, 16x accrual)</t>
  </si>
  <si>
    <t>Note: 'PIA (approx)' is a simplified illustration of the pension input amount for Annual Allowance purposes (roughly 16x the year's CARE accrual). It is not the exact HMRC method, which also factors in opening value revaluation. Treat as indicative only.</t>
  </si>
  <si>
    <t>Private Pensions &amp; Savings — Year by Year Projection</t>
  </si>
  <si>
    <t>SIPP Balance</t>
  </si>
  <si>
    <t>LISA Balance (incl. bonus)</t>
  </si>
  <si>
    <t>S&amp;S ISA Balance</t>
  </si>
  <si>
    <t>NHS AVC Balance</t>
  </si>
  <si>
    <t>GIA Balance (net of tax drag)</t>
  </si>
  <si>
    <t>Combined DC Total</t>
  </si>
  <si>
    <t>Note: LISA contributions (and the 25% bonus) automatically stop from age 50 onwards (last eligible contribution year is age 49) — the existing balance keeps growing. SIPP/ISA/AVC balances shown continue to grow here even past access age; the Scenario Summary tab decides how much of this to draw down at each retirement age. GIA growth is shown net of the assumed tax drag from the Inputs tab.</t>
  </si>
  <si>
    <t>Annual Allowance — Approximate Check</t>
  </si>
  <si>
    <t>Compares each year's total pension input (NHS CARE approx PIA + private pension contributions) against your Annual Allowance — automatically tapered down if you've flagged yourself as a high earner on the Inputs tab. Simplified — does not model 3-year carry-forward. Flag years that exceed the limit for closer checking.</t>
  </si>
  <si>
    <t>Total Pension Input (approx)</t>
  </si>
  <si>
    <t>Your Annual Allowance</t>
  </si>
  <si>
    <t>Within AA?</t>
  </si>
  <si>
    <t>Note: tapering assumes 'adjusted income' is the same every year for simplicity — in reality it would vary year to year with your actual earnings and pension inputs.</t>
  </si>
  <si>
    <t>Scenario Summary — Combined Retirement Income</t>
  </si>
  <si>
    <t>Compares three retirement ages side by side. This shows PROJECTIONS based on the assumptions you entered — it does not recommend which age to choose. Speak to a regulated adviser before making retirement decisions.</t>
  </si>
  <si>
    <t>Bridge years before NHS pension is claimed (if any)</t>
  </si>
  <si>
    <t>0 = claiming immediately (the default). Positive = you're stopping work before claiming your NHS pension.</t>
  </si>
  <si>
    <t>NHS 2015 Scheme + AP, before early retirement reduction (at claim age)</t>
  </si>
  <si>
    <t xml:space="preserve">  — early retirement reduction (ERRBO offsets this)</t>
  </si>
  <si>
    <t>% of pension retained (100% = no reduction, i.e. CLAIMING at or after your State Pension Age)</t>
  </si>
  <si>
    <t>NHS 2015 Scheme + AP after early retirement reduction (from claim age)</t>
  </si>
  <si>
    <t>NHS Legacy (1995/2008) pension (from claim age)</t>
  </si>
  <si>
    <t>Gated by standard legacy Normal Pension Ages: 60 (1995 Section), 65 (2008 Section) — pays £0 before that age. Grows in REAL terms each year until your CLAIM age via the dynamising/final-salary-link rate on the Inputs tab (continuous service assumed unless toggled off). Simplification: taking legacy benefits EARLY (with a reduction) isn't modelled — check your TRS/ABS or NHSBSA's calculator for that.</t>
  </si>
  <si>
    <t>Legacy lump sum (one-off, paid at claim age)</t>
  </si>
  <si>
    <t>State Pension (only if claim age &gt;= SPA)</t>
  </si>
  <si>
    <t>Private pots at retirement (SIPP+LISA+ISA+AVC+GIA)</t>
  </si>
  <si>
    <t xml:space="preserve">  Income DURING the bridge (before you claim, if deferring)</t>
  </si>
  <si>
    <t>Only applies if you set an NHS claim age later than your retirement age above — spends your private pots evenly down to zero over the gap, since that's the whole point of deferring: living off savings while your NHS pension avoids/reduces its early penalty. Shows £0 if there's no gap to bridge.</t>
  </si>
  <si>
    <t xml:space="preserve">  Private pot remaining once claim age is reached</t>
  </si>
  <si>
    <t>If you bridged, this is £0 — the pot was fully used getting you to claim age. If you didn't defer, it's your full pot.</t>
  </si>
  <si>
    <t xml:space="preserve">  — ongoing drawdown from claim age onwards (see strategy on Inputs tab)</t>
  </si>
  <si>
    <t>'4% Safe Withdrawal' = illustrative perpetual rate on whatever pot remains. 'Bridge' strategy here further spends any REMAINING pot down to zero by State Pension Age — only relevant if you didn't already use it all up in the bridge-to-claim phase above.</t>
  </si>
  <si>
    <t>Old / frozen pensions — income from claim age</t>
  </si>
  <si>
    <t>Evaluated at claim age, not retirement age — a simplification: if an old pension's own payable age falls during your bridge gap, this model doesn't add it into the bridge income above.</t>
  </si>
  <si>
    <t>TOTAL ANNUAL INCOME FROM CLAIM AGE (steady state)</t>
  </si>
  <si>
    <t xml:space="preserve">  (for comparison) ANNUAL INCOME DURING THE BRIDGE, if deferring</t>
  </si>
  <si>
    <t>Shows £0 if retirement age = claim age (no deferral). This is what your income looks like BEFORE the claim-age total above kicks in.</t>
  </si>
  <si>
    <t>One-off tax-free lump sum available</t>
  </si>
  <si>
    <t>Target Income Calculator — how much more do I need to save?</t>
  </si>
  <si>
    <t>This shows what the maths implies you'd need to save, GIVEN the target income and assumptions you've entered — it isn't a recommendation, and it doesn't say which account to put the extra money into. Set your target on the Inputs tab.</t>
  </si>
  <si>
    <t>Target retirement age</t>
  </si>
  <si>
    <t>Target annual income (today's money)</t>
  </si>
  <si>
    <t>Guaranteed income at target age</t>
  </si>
  <si>
    <t xml:space="preserve">  NHS Legacy (1995/2008), if age qualifies</t>
  </si>
  <si>
    <t xml:space="preserve">  NHS 2015 Scheme + AP, before early retirement reduction</t>
  </si>
  <si>
    <t xml:space="preserve">  Early retirement reduction factor applied</t>
  </si>
  <si>
    <t>Assumes you claim your NHS pension AT your target age (not deferred) — see the Scenario Summary tab for modelling a deferred claim separately from your retirement age</t>
  </si>
  <si>
    <t xml:space="preserve">  NHS 2015 Scheme + AP, after reduction</t>
  </si>
  <si>
    <t xml:space="preserve">  State Pension, if age qualifies</t>
  </si>
  <si>
    <t xml:space="preserve">  Old/frozen pensions</t>
  </si>
  <si>
    <t>TOTAL guaranteed/existing income at target age</t>
  </si>
  <si>
    <t>The gap, and what it means for your private pot</t>
  </si>
  <si>
    <t xml:space="preserve">  Income gap (target minus guaranteed income)</t>
  </si>
  <si>
    <t xml:space="preserve">  Total private pot needed to cover the gap</t>
  </si>
  <si>
    <t>Uses whichever drawdown strategy is set on the Inputs tab (4% perpetual, or bridge-to-SPA)</t>
  </si>
  <si>
    <t xml:space="preserve">  Private pot already projected for you at that age (SIPP+LISA+ISA+AVC+GIA)</t>
  </si>
  <si>
    <t xml:space="preserve">  Shortfall — extra pot needed on top of your current plan</t>
  </si>
  <si>
    <t xml:space="preserve">  Years left to save (now to target age)</t>
  </si>
  <si>
    <t>How much MORE you'd need to save each year, on top of what's already in your plan</t>
  </si>
  <si>
    <t>Cautious</t>
  </si>
  <si>
    <t>Central</t>
  </si>
  <si>
    <t>Optimistic</t>
  </si>
  <si>
    <t>Assumed real growth rate on extra savings</t>
  </si>
  <si>
    <t>Extra annual saving needed (today's money)</t>
  </si>
  <si>
    <t>This is extra saving ON TOP OF the SIPP/LISA/ISA/AVC/GIA contributions you've already entered on the Inputs tab — it doesn't replace them. It also doesn't suggest which account to put it in; that's a personal/tax decision worth discussing with a regulated adviser, since it depends on your tax band, existing allowances used, and how soon you might need access.</t>
  </si>
  <si>
    <t>Retirement Living Standards — Pensions UK / PLSA Benchmarks</t>
  </si>
  <si>
    <t>Independent annual benchmarks (Pensions UK, formerly PLSA, researched by Loughborough University) for what different retirement lifestyles cost. These are spending targets, not income recommendations — figures below are the 2026 update (published June 2026). Source: retirementlivingstandards.org.uk</t>
  </si>
  <si>
    <t>Standard</t>
  </si>
  <si>
    <t>One-person household</t>
  </si>
  <si>
    <t>Two-person household</t>
  </si>
  <si>
    <t>What it typically includes</t>
  </si>
  <si>
    <t>Minimum</t>
  </si>
  <si>
    <t>Covers all basic needs with some left over for fun — a week's UK holiday, no car, modest eating out</t>
  </si>
  <si>
    <t>Moderate</t>
  </si>
  <si>
    <t>More financial security and flexibility — an annual overseas holiday, a car, eating out a few times a month</t>
  </si>
  <si>
    <t>Comfortable</t>
  </si>
  <si>
    <t>More financial freedom — long-haul-style holidays, a newer car replaced regularly, regular treats and gifts</t>
  </si>
  <si>
    <t>Figures assume you own your home outright (no rent/mortgage) and exclude care costs.</t>
  </si>
  <si>
    <t>HOW DOES YOUR PLAN COMPARE?</t>
  </si>
  <si>
    <t>(Uses your household type from the Inputs tab and your Scenario Summary totals)</t>
  </si>
  <si>
    <t>Scenario A</t>
  </si>
  <si>
    <t>Scenario B</t>
  </si>
  <si>
    <t>Scenario C</t>
  </si>
  <si>
    <t>Your total projected annual income</t>
  </si>
  <si>
    <t>Nearest Retirement Living Standard</t>
  </si>
  <si>
    <t>Assumptions &amp; Sources</t>
  </si>
  <si>
    <t>IMPORTANT: this model works entirely in TODAY'S MONEY (real terms). Every growth/revaluation rate below is the rate ABOVE inflation, not the total nominal rate — this keeps all projected figures comparable to what things cost today, rather than mixing decades of compounding inflation into the numbers. When you see '2015 Scheme revalues at CPI + 1.5%' elsewhere, only the +1.5% belongs in this model — the CPI part is inflation, which we're deliberately stripping out throughout.</t>
  </si>
  <si>
    <t>Assumption</t>
  </si>
  <si>
    <t>Default Used</t>
  </si>
  <si>
    <t>Source / Note</t>
  </si>
  <si>
    <t>2015 Scheme accrual rate</t>
  </si>
  <si>
    <t>1/54</t>
  </si>
  <si>
    <t>NHS Pension Scheme rules — standard for 2015 CARE scheme</t>
  </si>
  <si>
    <t>2015 Scheme CARE revaluation (REAL)</t>
  </si>
  <si>
    <t>1.5% real</t>
  </si>
  <si>
    <t>Scheme rule is CPI + 1.5% nominal — since this model works in today's money, we use only the +1.5% real element. Source: NHS Pension Scheme regulations</t>
  </si>
  <si>
    <t>Pay growth assumption (REAL)</t>
  </si>
  <si>
    <t>1.0% real (illustrative)</t>
  </si>
  <si>
    <t>This is growth ABOVE inflation. Nominal AfC pay awards have varied 2-6%, but much of that has just matched inflation — 0-1.5% real is a reasonable long-run planning range, not a forecast</t>
  </si>
  <si>
    <t>£60,000</t>
  </si>
  <si>
    <t>2026/27 HMRC limit</t>
  </si>
  <si>
    <t>Tapered Annual Allowance</t>
  </si>
  <si>
    <t>Down to £10,000 min</t>
  </si>
  <si>
    <t>Applies if 'adjusted income' &gt; £260,000: AA reduces £1 for every £2 over the threshold. Toggle on Inputs tab. Source: HMRC pension tax rules — verify each tax year</t>
  </si>
  <si>
    <t>Normal Minimum Pension Age (private pensions)</t>
  </si>
  <si>
    <t>57</t>
  </si>
  <si>
    <t>Rising from 55 to 57 from 6 April 2028 — confirm protection rules if relevant</t>
  </si>
  <si>
    <t>LISA contribution cut-off</t>
  </si>
  <si>
    <t>Last eligible year: age 49</t>
  </si>
  <si>
    <t>You cannot pay into a LISA (and get the government bonus) from age 50 onwards, and cannot open a new LISA after age 39. Existing balance keeps growing. Modelled automatically in the Private Pensions Projection tab</t>
  </si>
  <si>
    <t>LISA — future of the product</t>
  </si>
  <si>
    <t>Existing LISAs unaffected; NEW LISAs unavailable from ~April 2028</t>
  </si>
  <si>
    <t>Announced in the Autumn 2025 Budget: the government is replacing the Lifetime ISA with a new 'First-Time Buyer ISA' for house-purchase only (no retirement-savings option), expected around April 2028 after a consultation that opened 23 June 2026. IMPORTANT — if you already have a LISA open, none of this changes anything for you: you can keep contributing under the current rules (£4,000/yr, 25% bonus, access at 60) indefinitely, even after the new product launches. The change only affects people who don't have a LISA yet and want to open one after ~2028 — they won't be able to use it as a retirement vehicle the way this model assumes. If you're relying on this model's LISA figures and don't yet have one open, opening one now (even with a small amount) secures your access to these rules long-term. Source: HM Treasury Autumn Budget 2025 / FTB ISA consultation, June 2026</t>
  </si>
  <si>
    <t>60</t>
  </si>
  <si>
    <t>Withdrawals before 60 (other than first home purchase) incur a 25% government withdrawal charge</t>
  </si>
  <si>
    <t>LISA government bonus</t>
  </si>
  <si>
    <t>25%</t>
  </si>
  <si>
    <t>Added on contributions up to £4,000/year — confirm still in payment each year</t>
  </si>
  <si>
    <t>Growth rates — SIPP/LISA/ISA (REAL)</t>
  </si>
  <si>
    <t>4.5% real (illustrative)</t>
  </si>
  <si>
    <t>Based on the UBS/Credit Suisse Global Investment Returns Yearbook 2026: world equities have returned ~5.2% real annualised since 1900, though only ~3.5% since 2000. A diversified (not 100%-equity) portfolio would typically sit below the pure-equity figure — 4.5% is a middle-of-the-road illustrative assumption, not a promise. Adjust down for a more conservative asset mix, especially closer to retirement</t>
  </si>
  <si>
    <t>Drawdown assumption</t>
  </si>
  <si>
    <t>4% of pot p.a.</t>
  </si>
  <si>
    <t>Common rule-of-thumb, not a recommendation — real plans should model sequencing/order of withdrawals</t>
  </si>
  <si>
    <t>State Pension amount</t>
  </si>
  <si>
    <t>£12,547.60 (2026/27 full rate, default)</t>
  </si>
  <si>
    <t>Auto-suggested default — get YOUR real figure from your gov.uk State Pension forecast, as NI record gaps reduce this</t>
  </si>
  <si>
    <t>State Pension Age</t>
  </si>
  <si>
    <t>Calculated from date of birth</t>
  </si>
  <si>
    <t>Applies the legislated bands (66 / 67 / 68) — the 66-to-67 transitional band (born 6 Apr 1960 - 5 Mar 1961) is simplified to 67; verify your exact date at gov.uk/state-pension-age. The rise to 68 is law but could still move</t>
  </si>
  <si>
    <t>McCloud remedy</t>
  </si>
  <si>
    <t>Not separately modelled</t>
  </si>
  <si>
    <t>TRS/ABS CARE balances should already reflect the automatic legacy-vs-2015 comparison for the remedy period — see README</t>
  </si>
  <si>
    <t>Drawdown strategy</t>
  </si>
  <si>
    <t>4% Safe Withdrawal (default) or Bridge-to-SPA</t>
  </si>
  <si>
    <t>Toggle on Inputs tab. '4%' assumes the private pot lasts indefinitely. 'Bridge' assumes you deliberately spend it down to zero by your State Pension Age — realistic if you're stopping work before your NHS pension is payable and living off savings in the meantime. Bridge mode ignores further investment growth during the drawdown years, for simplicity</t>
  </si>
  <si>
    <t>Legacy (1995/2008) Normal Pension Ages</t>
  </si>
  <si>
    <t>60 (1995 Section) / 65 (2008 Section)</t>
  </si>
  <si>
    <t>Scenario Summary now pays £0 for each legacy section until you reach ITS OWN Normal Pension Age, even if your overall scenario retirement age is earlier. Taking legacy benefits EARLY (with an actuarial reduction) isn't modelled — check NHSBSA's calculator for that</t>
  </si>
  <si>
    <t>Legacy scheme figures</t>
  </si>
  <si>
    <t>Entered directly from TRS/ABS</t>
  </si>
  <si>
    <t>No years/final-pay calculation needed — just copy the 'Pension' and 'Lump Sum' figures straight from your Annual Benefit Statement's Standard Benefits table for each section</t>
  </si>
  <si>
    <t>Legacy pension growth (dynamising/final salary link)</t>
  </si>
  <si>
    <t>1.5% real p.a. (GP dynamised income)</t>
  </si>
  <si>
    <t>For GPs, legacy 1995/2008 benefits stay 'final salary linked' as long as there's no 5+ year break in NHS pensionable service — uprated each year by Pensions Increase (CPI) + 1.5%, with a 1.5% floor even if CPI is nil/negative. Since this model works in today's money, that's simply +1.5% real growth per year, applied from now until the age you claim it (not frozen at the TRS/ABS value). Toggle 'No' on the Inputs tab to model a career break that would remove this link, in which case it reverts to flat/no real growth. NOTE: Officers (not GPs) are linked to current pay scales instead, which can occasionally undershoot inflation — 1.5% may be optimistic for that case</t>
  </si>
  <si>
    <t>2015 CARE — out-of-date TRS catch-up</t>
  </si>
  <si>
    <t>Assumes ~1 year old by default; extra years auto-corrected</t>
  </si>
  <si>
    <t>The model assumes a TRS/ABS is about a year old (typical). If yours is older (enter the tax year it's 'Updated To' on the Inputs tab), it runs extra catch-up years using your CURRENT pay as a stand-in for the missing years' pay/accrual before projecting forward — see the 2015 CARE Projection tab. This is a simplification: your actual pay in those missing years may have differed from today's</t>
  </si>
  <si>
    <t>Pension Input Amount (Annual Allowance)</t>
  </si>
  <si>
    <t>16x accrual (approx)</t>
  </si>
  <si>
    <t>Simplified illustration only — HMRC's exact DB valuation method also factors in opening-value revaluation</t>
  </si>
  <si>
    <t>NHS Additional Pension (AP)</t>
  </si>
  <si>
    <t>User-entered guaranteed amount</t>
  </si>
  <si>
    <t>Lets 2015 Scheme members buy extra guaranteed, inflation-linked annual pension (up to ~£8,946/yr for 2026/27). Added directly to NHS income, subject to the same early retirement reduction as the main 2015 pension</t>
  </si>
  <si>
    <t>NHS AVCs</t>
  </si>
  <si>
    <t>Modelled like SIPP/ISA</t>
  </si>
  <si>
    <t>In-house Additional Voluntary Contributions — invested, not guaranteed. Grows in the Private Pensions Projection tab using the same mechanics as SIPP/ISA</t>
  </si>
  <si>
    <t>ERRBO / early retirement reduction</t>
  </si>
  <si>
    <t>5% p.a. (illustrative, flat)</t>
  </si>
  <si>
    <t>Early Retirement Reduction Buy Out lets you buy out some/all of the reduction for claiming before Normal Pension Age. NHSBSA's real reduction factors are non-linear (increasing the further before NPA) — this model uses a flat illustrative rate. Check NHSBSA's early retirement calculator for exact factors</t>
  </si>
  <si>
    <t>Retirement age vs NHS claim age</t>
  </si>
  <si>
    <t>Separate inputs per Scenario on the Inputs tab</t>
  </si>
  <si>
    <t>'Retirement age' is when you stop working. 'NHS pension claim age' is when you actually start drawing your NHS pension — a separate choice. They default to the same age (claim immediately, with any early reduction applying as normal). Set the claim age LATER than the retirement age to model stopping work early but deferring your NHS pension claim to reduce/avoid the penalty — the Scenario Summary then shows your private pots being spent down to bridge that gap, and your NHS income from the later claim age onwards separately</t>
  </si>
  <si>
    <t>GIA tax drag</t>
  </si>
  <si>
    <t>0.5% (Basic) / 1.0% (Higher) / 1.1% (Additional) real p.a.</t>
  </si>
  <si>
    <t>Illustrative estimate of the annual tax cost of holding investments outside a pension/ISA, based on 2026/27 rates: dividend allowance £500 (tax at 10.75%/35.75%/39.35% by band above that), and CGT annual exempt amount £3,000 (tax at 18% basic-band / 24% higher-band gains above that). Actual drag depends heavily on your asset mix, how much is realised vs unrealised, and use of tax-efficient strategies (Bed &amp; ISA, loss harvesting, spreading disposals across tax years) — treat this as a starting estimate, not a precise figure. Source: gov.uk Capital Gains Tax rates, HMRC dividend tax rates 2026/27</t>
  </si>
  <si>
    <t>Glossary — Pension &amp; Savings Terms</t>
  </si>
  <si>
    <t>This gets complex fast — use this as a quick reference. The app version would let you tap any term inline to see its definition here.</t>
  </si>
  <si>
    <t>Term</t>
  </si>
  <si>
    <t>What it means</t>
  </si>
  <si>
    <t>1995 / 2008 Section</t>
  </si>
  <si>
    <t>The two 'legacy' NHS pension schemes, closed to new members from 2015. Final-salary based — your pension depends on your pay near the end of membership, not your career average.</t>
  </si>
  <si>
    <t>2015 Scheme (CARE)</t>
  </si>
  <si>
    <t>The current NHS pension scheme. 'Career Average Revalued Earnings' — you build up a slice of pension each year based on that year's pay, which then grows with inflation until retirement.</t>
  </si>
  <si>
    <t>McCloud Remedy</t>
  </si>
  <si>
    <t>A legal fix for age discrimination when the 1995/2008 schemes were closed. For service between April 2015 and March 2022, NHS Pensions automatically compares legacy vs 2015 Scheme rules and gives you whichever is higher.</t>
  </si>
  <si>
    <t>Normal Pension Age (NPA)</t>
  </si>
  <si>
    <t>The age you can take your NHS pension in full, with no reduction. 60 (1995 Section), 65 (2008 Section), or your State Pension Age (2015 Scheme).</t>
  </si>
  <si>
    <t>Normal Minimum Pension Age (NMPA)</t>
  </si>
  <si>
    <t>The earliest age you can access a PRIVATE pension (SIPP etc) without penalty. Currently 55, rising to 57 from April 2028.</t>
  </si>
  <si>
    <t>Additional Pension (AP)</t>
  </si>
  <si>
    <t>A way to buy extra GUARANTEED, inflation-linked NHS pension on top of your normal 2015 Scheme benefits, up to a yearly limit (~£8,946 for 2026/27).</t>
  </si>
  <si>
    <t>AVC (Additional Voluntary Contribution)</t>
  </si>
  <si>
    <t>An in-house, INVESTED (not guaranteed) way to top up your NHS pension savings — more like a SIPP than a guaranteed pension.</t>
  </si>
  <si>
    <t>ERRBO (Early Retirement Reduction Buy Out)</t>
  </si>
  <si>
    <t>Lets 2015 Scheme members pay extra to reduce or remove the penalty for retiring before their Normal Pension Age.</t>
  </si>
  <si>
    <t>Annual Allowance (AA)</t>
  </si>
  <si>
    <t>The most you can pay into pensions each year (across all schemes combined) before facing a tax charge. £60,000 standard limit for 2026/27.</t>
  </si>
  <si>
    <t>A reduced Annual Allowance for high earners — tapers down to a £10,000 floor if your 'adjusted income' exceeds £260,000.</t>
  </si>
  <si>
    <t>Pension Input Amount (PIA)</t>
  </si>
  <si>
    <t>The value HMRC assigns to your pension growth in a year, for Annual Allowance purposes. For DB schemes like the NHS pension, this isn't just your contributions — it's roughly 16x the increase in your annual pension.</t>
  </si>
  <si>
    <t>SIPP (Self-Invested Personal Pension)</t>
  </si>
  <si>
    <t>A private, invested pension you control directly, separate from your NHS pension. Same tax relief and access-age rules as other personal pensions.</t>
  </si>
  <si>
    <t>LISA (Lifetime ISA)</t>
  </si>
  <si>
    <t>A tax-free savings account with a 25% government bonus, usable for a first home or from age 60. Can only be opened age 18-39, and you can't pay in from age 50.</t>
  </si>
  <si>
    <t>S&amp;S ISA (Stocks &amp; Shares ISA)</t>
  </si>
  <si>
    <t>A tax-free, flexible investment account with no access-age restriction — but no government bonus or pension-style tax relief either.</t>
  </si>
  <si>
    <t>GIA (General Investment Account)</t>
  </si>
  <si>
    <t>A taxable investment account, used once you've maxed your £20,000/year ISA allowance. Subject to Capital Gains Tax and dividend tax.</t>
  </si>
  <si>
    <t>Old / frozen pension</t>
  </si>
  <si>
    <t>A pension (DB or DC) from a previous employer that you're no longer contributing to, but which still has value.</t>
  </si>
  <si>
    <t>Drawdown</t>
  </si>
  <si>
    <t>Taking a flexible income directly from an invested pension pot, leaving the rest invested — as opposed to buying a fixed annuity.</t>
  </si>
  <si>
    <t>Annuity</t>
  </si>
  <si>
    <t>A product you can buy with pension savings that pays a guaranteed income for life, in exchange for the pot itself.</t>
  </si>
  <si>
    <t>Commutation</t>
  </si>
  <si>
    <t>Giving up some annual pension in exchange for a bigger tax-free lump sum (usually at a fixed rate, e.g. £12 lump sum per £1 of pension given up).</t>
  </si>
  <si>
    <t>Tax-free lump sum</t>
  </si>
  <si>
    <t>The portion of your pension you can usually take tax-free at retirement — capped by the Lump Sum Allowance (£268,275 for 2026/27).</t>
  </si>
  <si>
    <t>State Pension Age (SPA)</t>
  </si>
  <si>
    <t>The earliest age you can claim the State Pension — currently 66-67 depending on date of birth, rising to 68 in future.</t>
  </si>
  <si>
    <t>Retirement Living Standards</t>
  </si>
  <si>
    <t>Independent benchmarks (Pensions UK / PLSA, researched by Loughborough University) for what different retirement lifestyles cost, from 'Minimum' to 'Comfortable'.</t>
  </si>
  <si>
    <t>Real terms / today's money</t>
  </si>
  <si>
    <t>Figures adjusted to strip out the effect of future inflation, so they're comparable to what things cost today rather than being distorted by decades of compounding price rises.</t>
  </si>
  <si>
    <t>Dynamised income / final salary link</t>
  </si>
  <si>
    <t>For GPs, legacy 1995/2008 pension benefits keep growing in real terms (CPI + 1.5%, with a 1.5% floor) right up until you claim them, as long as you don't have a 5+ year break in NHS pensionable service. Officers get a similar link, but to current pay scales instead.</t>
  </si>
  <si>
    <t>TOTAL ANNUAL INCOME FROM STATE PENSION AGE ONWARDS</t>
  </si>
  <si>
    <t>The claim-age total above is a steady-state figure that never includes the State Pension if you claim your NHS pension before your State Pension Age — it treats that gap the same way forever, even after you actually turn State Pension Age. This row adds the State Pension back in for scenarios that claim early, showing your true steady income from State Pension Age onwards. If you already claim at or after State Pension Age, this is identical to the row above (State Pension is already included there).</t>
  </si>
  <si>
    <t>CARE pot stops accruing new service at your retirement age. If you defer claiming past that (retirement age before claim age), you become a DEFERRED member — NHS Pensions revalues deferred CARE at CPI only, not the active member's CPI+1.5%. Since this model works in real terms with CPI already stripped out, that means no further real growth during the gap: the pot is simply held flat (in today's money) from retirement age to claim age.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</si>
</sst>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quot;(£&quot;#,##0\);\-"/>
    <numFmt numFmtId="165" formatCode="0.0%"/>
  </numFmts>
  <fonts count="9" x14ac:knownFonts="1">
    <font>
      <sz val="11"/>
      <color theme="1"/>
      <name val="Calibri"/>
      <family val="2"/>
      <charset val="1"/>
    </font>
    <font>
      <b/>
      <sz val="16"/>
      <name val="Calibri"/>
      <charset val="1"/>
    </font>
    <font>
      <sz val="11"/>
      <color rgb="FF000000"/>
      <name val="Calibri"/>
      <charset val="1"/>
    </font>
    <font>
      <b/>
      <sz val="11"/>
      <name val="Calibri"/>
      <charset val="1"/>
    </font>
    <font>
      <b/>
      <sz val="14"/>
      <color rgb="FFFFFFFF"/>
      <name val="Calibri"/>
      <charset val="1"/>
    </font>
    <font>
      <sz val="11"/>
      <color rgb="FF0000FF"/>
      <name val="Calibri"/>
      <charset val="1"/>
    </font>
    <font>
      <i/>
      <sz val="9"/>
      <color rgb="FF808080"/>
      <name val="Calibri"/>
      <charset val="1"/>
    </font>
    <font>
      <b/>
      <sz val="11"/>
      <color rgb="FFFFFFFF"/>
      <name val="Calibri"/>
      <charset val="1"/>
    </font>
    <font>
      <b/>
      <i/>
      <sz val="11"/>
      <color rgb="FFC00000"/>
      <name val="Calibri"/>
      <charset val="1"/>
    </font>
  </fonts>
  <fills count="6">
    <fill>
      <patternFill patternType="none"/>
    </fill>
    <fill>
      <patternFill patternType="gray125"/>
    </fill>
    <fill>
      <patternFill patternType="solid">
        <fgColor rgb="FF1F4E78"/>
        <bgColor rgb="FF003366"/>
      </patternFill>
    </fill>
    <fill>
      <patternFill patternType="solid">
        <fgColor rgb="FFD9E1F2"/>
        <bgColor rgb="FFCCFFFF"/>
      </patternFill>
    </fill>
    <fill>
      <patternFill patternType="solid">
        <fgColor rgb="FFFFFDE7"/>
        <bgColor rgb="FFFFFFFF"/>
      </patternFill>
    </fill>
    <fill>
      <patternFill patternType="solid">
        <fgColor rgb="FFFFF2CC"/>
        <bgColor rgb="FFFFFDE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2">
    <xf numFmtId="0" fontId="0" fillId="0" borderId="0" xfId="0"/>
    <xf numFmtId="0" fontId="1" fillId="0" borderId="0" xfId="0" applyFont="1"/>
    <xf numFmtId="0" fontId="0" fillId="0" borderId="0" xfId="0" applyFont="1" applyAlignment="1">
      <alignment wrapText="1"/>
    </xf>
    <xf numFmtId="0" fontId="2" fillId="0" borderId="0" xfId="0" applyFont="1"/>
    <xf numFmtId="0" fontId="3" fillId="0" borderId="0" xfId="0" applyFont="1"/>
    <xf numFmtId="0" fontId="4" fillId="2" borderId="0" xfId="0" applyFont="1" applyFill="1"/>
    <xf numFmtId="0" fontId="0" fillId="2" borderId="0" xfId="0" applyFill="1"/>
    <xf numFmtId="0" fontId="3" fillId="3" borderId="0" xfId="0" applyFont="1" applyFill="1"/>
    <xf numFmtId="0" fontId="0" fillId="3" borderId="0" xfId="0" applyFill="1"/>
    <xf numFmtId="14" fontId="5" fillId="4" borderId="0" xfId="0" applyNumberFormat="1" applyFont="1" applyFill="1"/>
    <xf numFmtId="0" fontId="6" fillId="0" borderId="0" xfId="0" applyFont="1"/>
    <xf numFmtId="1" fontId="2" fillId="0" borderId="0" xfId="0" applyNumberFormat="1" applyFont="1"/>
    <xf numFmtId="1" fontId="5" fillId="4" borderId="0" xfId="0" applyNumberFormat="1" applyFont="1" applyFill="1"/>
    <xf numFmtId="0" fontId="6" fillId="0" borderId="0" xfId="0" applyFont="1" applyAlignment="1">
      <alignment wrapText="1"/>
    </xf>
    <xf numFmtId="164" fontId="5" fillId="4" borderId="0" xfId="0" applyNumberFormat="1" applyFont="1" applyFill="1"/>
    <xf numFmtId="0" fontId="5" fillId="4" borderId="0" xfId="0" applyFont="1" applyFill="1"/>
    <xf numFmtId="165" fontId="5" fillId="4" borderId="0" xfId="0" applyNumberFormat="1" applyFont="1" applyFill="1"/>
    <xf numFmtId="165" fontId="2" fillId="0" borderId="0" xfId="0" applyNumberFormat="1" applyFont="1"/>
    <xf numFmtId="164" fontId="2" fillId="0" borderId="0" xfId="0" applyNumberFormat="1" applyFont="1"/>
    <xf numFmtId="164" fontId="3" fillId="0" borderId="0" xfId="0" applyNumberFormat="1" applyFont="1"/>
    <xf numFmtId="0" fontId="7" fillId="2" borderId="0" xfId="0" applyFont="1" applyFill="1" applyAlignment="1">
      <alignment horizontal="center" wrapText="1"/>
    </xf>
    <xf numFmtId="0" fontId="2" fillId="0" borderId="1" xfId="0" applyFont="1" applyBorder="1"/>
    <xf numFmtId="1" fontId="2" fillId="0" borderId="1" xfId="0" applyNumberFormat="1" applyFont="1" applyBorder="1"/>
    <xf numFmtId="164" fontId="2" fillId="0" borderId="1" xfId="0" applyNumberFormat="1" applyFont="1" applyBorder="1"/>
    <xf numFmtId="0" fontId="8" fillId="0" borderId="0" xfId="0" applyFont="1" applyAlignment="1">
      <alignment wrapText="1"/>
    </xf>
    <xf numFmtId="0" fontId="7" fillId="2" borderId="0" xfId="0" applyFont="1" applyFill="1" applyAlignment="1">
      <alignment horizontal="center"/>
    </xf>
    <xf numFmtId="165" fontId="2" fillId="0" borderId="1" xfId="0" applyNumberFormat="1" applyFont="1" applyBorder="1"/>
    <xf numFmtId="0" fontId="0" fillId="0" borderId="1" xfId="0" applyBorder="1"/>
    <xf numFmtId="0" fontId="3" fillId="3" borderId="1" xfId="0" applyFont="1" applyFill="1" applyBorder="1"/>
    <xf numFmtId="164" fontId="3" fillId="3" borderId="1" xfId="0" applyNumberFormat="1" applyFont="1" applyFill="1" applyBorder="1"/>
    <xf numFmtId="0" fontId="3" fillId="0" borderId="1" xfId="0" applyFont="1" applyBorder="1"/>
    <xf numFmtId="164" fontId="3" fillId="0" borderId="1" xfId="0" applyNumberFormat="1" applyFont="1" applyBorder="1"/>
    <xf numFmtId="0" fontId="0" fillId="3" borderId="1" xfId="0" applyFill="1" applyBorder="1"/>
    <xf numFmtId="0" fontId="7" fillId="2" borderId="1" xfId="0" applyFont="1" applyFill="1" applyBorder="1" applyAlignment="1">
      <alignment horizontal="center"/>
    </xf>
    <xf numFmtId="164" fontId="3" fillId="5" borderId="1" xfId="0" applyNumberFormat="1" applyFont="1" applyFill="1" applyBorder="1"/>
    <xf numFmtId="0" fontId="6" fillId="0" borderId="1" xfId="0" applyFont="1" applyBorder="1" applyAlignment="1">
      <alignment wrapText="1"/>
    </xf>
    <xf numFmtId="0" fontId="7" fillId="2" borderId="0" xfId="0" applyFont="1" applyFill="1"/>
    <xf numFmtId="0" fontId="5" fillId="0" borderId="1" xfId="0" applyFont="1" applyBorder="1"/>
    <xf numFmtId="0" fontId="0" fillId="0" borderId="1" xfId="0" applyFont="1" applyBorder="1" applyAlignment="1">
      <alignment wrapText="1"/>
    </xf>
    <xf numFmtId="0" fontId="6" fillId="0" borderId="0" xfId="0" applyFont="1" applyBorder="1" applyAlignment="1">
      <alignment wrapText="1"/>
    </xf>
    <xf numFmtId="0" fontId="8" fillId="0" borderId="0" xfId="0" applyFont="1" applyBorder="1" applyAlignment="1">
      <alignment wrapText="1"/>
    </xf>
    <xf numFmtId="0" fontId="0" fillId="0" borderId="0" xfId="0" applyFont="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DE7"/>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showGridLines="0" tabSelected="1" zoomScaleNormal="100" workbookViewId="0"/>
  </sheetViews>
  <sheetFormatPr defaultColWidth="8.6640625" defaultRowHeight="14.4" x14ac:dyDescent="0.3"/>
  <cols>
    <col min="1" max="1" width="100" customWidth="1"/>
  </cols>
  <sheetData>
    <row r="1" spans="1:1" ht="21" x14ac:dyDescent="0.4">
      <c r="A1" s="1" t="s">
        <v>0</v>
      </c>
    </row>
    <row r="3" spans="1:1" ht="45" customHeight="1" x14ac:dyDescent="0.3">
      <c r="A3" s="2" t="s">
        <v>1</v>
      </c>
    </row>
    <row r="5" spans="1:1" x14ac:dyDescent="0.3">
      <c r="A5" s="3"/>
    </row>
    <row r="6" spans="1:1" x14ac:dyDescent="0.3">
      <c r="A6" s="4" t="s">
        <v>2</v>
      </c>
    </row>
    <row r="7" spans="1:1" x14ac:dyDescent="0.3">
      <c r="A7" s="4" t="s">
        <v>3</v>
      </c>
    </row>
    <row r="8" spans="1:1" ht="45" customHeight="1" x14ac:dyDescent="0.3">
      <c r="A8" s="2" t="s">
        <v>4</v>
      </c>
    </row>
    <row r="9" spans="1:1" x14ac:dyDescent="0.3">
      <c r="A9" s="4" t="s">
        <v>5</v>
      </c>
    </row>
    <row r="10" spans="1:1" ht="45" customHeight="1" x14ac:dyDescent="0.3">
      <c r="A10" s="2" t="s">
        <v>6</v>
      </c>
    </row>
    <row r="11" spans="1:1" x14ac:dyDescent="0.3">
      <c r="A11" s="4" t="s">
        <v>7</v>
      </c>
    </row>
    <row r="12" spans="1:1" ht="45" customHeight="1" x14ac:dyDescent="0.3">
      <c r="A12" s="2" t="s">
        <v>8</v>
      </c>
    </row>
    <row r="13" spans="1:1" x14ac:dyDescent="0.3">
      <c r="A13" s="4" t="s">
        <v>9</v>
      </c>
    </row>
    <row r="14" spans="1:1" ht="45" customHeight="1" x14ac:dyDescent="0.3">
      <c r="A14" s="2" t="s">
        <v>10</v>
      </c>
    </row>
    <row r="15" spans="1:1" x14ac:dyDescent="0.3">
      <c r="A15" s="4" t="s">
        <v>11</v>
      </c>
    </row>
    <row r="16" spans="1:1" ht="45" customHeight="1" x14ac:dyDescent="0.3">
      <c r="A16" s="2" t="s">
        <v>12</v>
      </c>
    </row>
    <row r="17" spans="1:1" x14ac:dyDescent="0.3">
      <c r="A17" s="4" t="s">
        <v>13</v>
      </c>
    </row>
    <row r="18" spans="1:1" ht="45" customHeight="1" x14ac:dyDescent="0.3">
      <c r="A18" s="2" t="s">
        <v>14</v>
      </c>
    </row>
    <row r="19" spans="1:1" x14ac:dyDescent="0.3">
      <c r="A19" s="4" t="s">
        <v>15</v>
      </c>
    </row>
    <row r="20" spans="1:1" ht="45" customHeight="1" x14ac:dyDescent="0.3">
      <c r="A20" s="2" t="s">
        <v>16</v>
      </c>
    </row>
    <row r="21" spans="1:1" x14ac:dyDescent="0.3">
      <c r="A21" s="3"/>
    </row>
    <row r="22" spans="1:1" x14ac:dyDescent="0.3">
      <c r="A22" s="4" t="s">
        <v>17</v>
      </c>
    </row>
    <row r="23" spans="1:1" ht="45" customHeight="1" x14ac:dyDescent="0.3">
      <c r="A23" s="2" t="s">
        <v>18</v>
      </c>
    </row>
    <row r="24" spans="1:1" x14ac:dyDescent="0.3">
      <c r="A24" s="3"/>
    </row>
    <row r="25" spans="1:1" x14ac:dyDescent="0.3">
      <c r="A25" s="4" t="s">
        <v>19</v>
      </c>
    </row>
    <row r="26" spans="1:1" ht="45" customHeight="1" x14ac:dyDescent="0.3">
      <c r="A26" s="2" t="s">
        <v>20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9"/>
  <sheetViews>
    <sheetView showGridLines="0" zoomScaleNormal="100" workbookViewId="0"/>
  </sheetViews>
  <sheetFormatPr defaultColWidth="8.6640625" defaultRowHeight="14.4" x14ac:dyDescent="0.3"/>
  <cols>
    <col min="1" max="1" width="42" customWidth="1"/>
    <col min="2" max="2" width="16" customWidth="1"/>
    <col min="3" max="3" width="55" customWidth="1"/>
  </cols>
  <sheetData>
    <row r="1" spans="1:3" ht="21.75" customHeight="1" x14ac:dyDescent="0.35">
      <c r="A1" s="5" t="s">
        <v>21</v>
      </c>
      <c r="B1" s="6"/>
      <c r="C1" s="6"/>
    </row>
    <row r="3" spans="1:3" x14ac:dyDescent="0.3">
      <c r="A3" s="7" t="s">
        <v>22</v>
      </c>
      <c r="B3" s="8"/>
      <c r="C3" s="8"/>
    </row>
    <row r="4" spans="1:3" x14ac:dyDescent="0.3">
      <c r="A4" s="3" t="s">
        <v>23</v>
      </c>
      <c r="B4" s="9">
        <v>30025</v>
      </c>
      <c r="C4" s="10" t="s">
        <v>24</v>
      </c>
    </row>
    <row r="5" spans="1:3" x14ac:dyDescent="0.3">
      <c r="A5" s="3" t="s">
        <v>25</v>
      </c>
      <c r="B5" s="11">
        <f ca="1">DATEDIF(B4,TODAY(),"y")</f>
        <v>44</v>
      </c>
      <c r="C5" s="10" t="s">
        <v>26</v>
      </c>
    </row>
    <row r="6" spans="1:3" x14ac:dyDescent="0.3">
      <c r="A6" s="3" t="s">
        <v>27</v>
      </c>
      <c r="B6" s="12">
        <v>2026</v>
      </c>
      <c r="C6" s="10" t="s">
        <v>28</v>
      </c>
    </row>
    <row r="7" spans="1:3" ht="45" customHeight="1" x14ac:dyDescent="0.3">
      <c r="A7" s="3" t="s">
        <v>29</v>
      </c>
      <c r="B7" s="11">
        <f>IF(B4&lt;DATE(1960,4,6),66,IF(B4&lt;DATE(1961,3,6),67,IF(B4&lt;DATE(1977,4,6),67,68)))</f>
        <v>68</v>
      </c>
      <c r="C7" s="13" t="s">
        <v>30</v>
      </c>
    </row>
    <row r="8" spans="1:3" ht="30" customHeight="1" x14ac:dyDescent="0.3">
      <c r="A8" s="3" t="s">
        <v>31</v>
      </c>
      <c r="B8" s="14">
        <v>12547.6</v>
      </c>
      <c r="C8" s="10" t="s">
        <v>32</v>
      </c>
    </row>
    <row r="10" spans="1:3" x14ac:dyDescent="0.3">
      <c r="A10" s="7" t="s">
        <v>33</v>
      </c>
      <c r="B10" s="8"/>
      <c r="C10" s="8"/>
    </row>
    <row r="11" spans="1:3" ht="30" customHeight="1" x14ac:dyDescent="0.3">
      <c r="A11" s="10" t="s">
        <v>34</v>
      </c>
    </row>
    <row r="12" spans="1:3" ht="30" customHeight="1" x14ac:dyDescent="0.3">
      <c r="A12" s="3" t="s">
        <v>35</v>
      </c>
      <c r="B12" s="14">
        <v>0</v>
      </c>
      <c r="C12" s="10" t="s">
        <v>36</v>
      </c>
    </row>
    <row r="13" spans="1:3" x14ac:dyDescent="0.3">
      <c r="A13" s="3" t="s">
        <v>37</v>
      </c>
      <c r="B13" s="14">
        <v>0</v>
      </c>
      <c r="C13" s="10" t="s">
        <v>38</v>
      </c>
    </row>
    <row r="14" spans="1:3" ht="30" customHeight="1" x14ac:dyDescent="0.3">
      <c r="A14" s="3" t="s">
        <v>39</v>
      </c>
      <c r="B14" s="14">
        <v>0</v>
      </c>
      <c r="C14" s="10" t="s">
        <v>40</v>
      </c>
    </row>
    <row r="15" spans="1:3" x14ac:dyDescent="0.3">
      <c r="A15" s="3" t="s">
        <v>41</v>
      </c>
      <c r="B15" s="14">
        <v>0</v>
      </c>
      <c r="C15" s="10" t="s">
        <v>42</v>
      </c>
    </row>
    <row r="17" spans="1:3" x14ac:dyDescent="0.3">
      <c r="A17" s="7" t="s">
        <v>43</v>
      </c>
      <c r="B17" s="8"/>
      <c r="C17" s="8"/>
    </row>
    <row r="18" spans="1:3" ht="60" customHeight="1" x14ac:dyDescent="0.3">
      <c r="A18" s="3" t="s">
        <v>44</v>
      </c>
      <c r="B18" s="15" t="s">
        <v>45</v>
      </c>
      <c r="C18" s="13" t="s">
        <v>46</v>
      </c>
    </row>
    <row r="19" spans="1:3" ht="60" customHeight="1" x14ac:dyDescent="0.3">
      <c r="A19" s="3" t="s">
        <v>47</v>
      </c>
      <c r="B19" s="16">
        <v>1.4999999999999999E-2</v>
      </c>
      <c r="C19" s="10" t="s">
        <v>48</v>
      </c>
    </row>
    <row r="21" spans="1:3" x14ac:dyDescent="0.3">
      <c r="A21" s="7" t="s">
        <v>49</v>
      </c>
      <c r="B21" s="8"/>
      <c r="C21" s="8"/>
    </row>
    <row r="22" spans="1:3" x14ac:dyDescent="0.3">
      <c r="A22" s="3" t="s">
        <v>50</v>
      </c>
      <c r="B22" s="14">
        <v>18000</v>
      </c>
      <c r="C22" s="10" t="s">
        <v>51</v>
      </c>
    </row>
    <row r="23" spans="1:3" ht="45" customHeight="1" x14ac:dyDescent="0.3">
      <c r="A23" s="3" t="s">
        <v>52</v>
      </c>
      <c r="B23" s="12">
        <v>2024</v>
      </c>
      <c r="C23" s="10" t="s">
        <v>53</v>
      </c>
    </row>
    <row r="24" spans="1:3" x14ac:dyDescent="0.3">
      <c r="A24" s="3" t="s">
        <v>54</v>
      </c>
      <c r="B24" s="14">
        <v>80000</v>
      </c>
      <c r="C24" s="10" t="s">
        <v>55</v>
      </c>
    </row>
    <row r="25" spans="1:3" ht="30" customHeight="1" x14ac:dyDescent="0.3">
      <c r="A25" s="3" t="s">
        <v>56</v>
      </c>
      <c r="B25" s="16">
        <v>0.01</v>
      </c>
      <c r="C25" s="10" t="s">
        <v>57</v>
      </c>
    </row>
    <row r="26" spans="1:3" ht="30" customHeight="1" x14ac:dyDescent="0.3">
      <c r="A26" s="3" t="s">
        <v>58</v>
      </c>
      <c r="B26" s="16">
        <v>1.4999999999999999E-2</v>
      </c>
      <c r="C26" s="10" t="s">
        <v>59</v>
      </c>
    </row>
    <row r="27" spans="1:3" x14ac:dyDescent="0.3">
      <c r="A27" s="3" t="s">
        <v>60</v>
      </c>
      <c r="B27" s="12">
        <v>54</v>
      </c>
      <c r="C27" s="10" t="s">
        <v>61</v>
      </c>
    </row>
    <row r="29" spans="1:3" x14ac:dyDescent="0.3">
      <c r="A29" s="7" t="s">
        <v>62</v>
      </c>
      <c r="B29" s="8"/>
      <c r="C29" s="8"/>
    </row>
    <row r="30" spans="1:3" x14ac:dyDescent="0.3">
      <c r="A30" s="3" t="s">
        <v>63</v>
      </c>
      <c r="B30" s="14">
        <v>40000</v>
      </c>
    </row>
    <row r="31" spans="1:3" ht="45" customHeight="1" x14ac:dyDescent="0.3">
      <c r="A31" s="3" t="s">
        <v>64</v>
      </c>
      <c r="B31" s="14">
        <v>6000</v>
      </c>
      <c r="C31" s="10" t="s">
        <v>65</v>
      </c>
    </row>
    <row r="32" spans="1:3" ht="30" customHeight="1" x14ac:dyDescent="0.3">
      <c r="A32" s="3" t="s">
        <v>66</v>
      </c>
      <c r="B32" s="16">
        <v>4.4999999999999998E-2</v>
      </c>
      <c r="C32" s="10" t="s">
        <v>67</v>
      </c>
    </row>
    <row r="33" spans="1:3" x14ac:dyDescent="0.3">
      <c r="A33" s="3" t="s">
        <v>68</v>
      </c>
      <c r="B33" s="12">
        <v>57</v>
      </c>
      <c r="C33" s="10" t="s">
        <v>69</v>
      </c>
    </row>
    <row r="34" spans="1:3" x14ac:dyDescent="0.3">
      <c r="A34" s="3" t="s">
        <v>70</v>
      </c>
      <c r="B34" s="14">
        <v>15000</v>
      </c>
    </row>
    <row r="35" spans="1:3" ht="60" customHeight="1" x14ac:dyDescent="0.3">
      <c r="A35" s="3" t="s">
        <v>71</v>
      </c>
      <c r="B35" s="14">
        <v>4000</v>
      </c>
      <c r="C35" s="10" t="s">
        <v>72</v>
      </c>
    </row>
    <row r="36" spans="1:3" x14ac:dyDescent="0.3">
      <c r="A36" s="3" t="s">
        <v>73</v>
      </c>
      <c r="B36" s="16">
        <v>4.4999999999999998E-2</v>
      </c>
    </row>
    <row r="37" spans="1:3" x14ac:dyDescent="0.3">
      <c r="A37" s="3" t="s">
        <v>74</v>
      </c>
      <c r="B37" s="12">
        <v>60</v>
      </c>
    </row>
    <row r="38" spans="1:3" x14ac:dyDescent="0.3">
      <c r="A38" s="3" t="s">
        <v>75</v>
      </c>
      <c r="B38" s="14">
        <v>25000</v>
      </c>
    </row>
    <row r="39" spans="1:3" x14ac:dyDescent="0.3">
      <c r="A39" s="3" t="s">
        <v>76</v>
      </c>
      <c r="B39" s="14">
        <v>8000</v>
      </c>
    </row>
    <row r="40" spans="1:3" x14ac:dyDescent="0.3">
      <c r="A40" s="3" t="s">
        <v>77</v>
      </c>
      <c r="B40" s="16">
        <v>4.4999999999999998E-2</v>
      </c>
    </row>
    <row r="42" spans="1:3" x14ac:dyDescent="0.3">
      <c r="A42" s="7" t="s">
        <v>78</v>
      </c>
      <c r="B42" s="8"/>
      <c r="C42" s="8"/>
    </row>
    <row r="43" spans="1:3" ht="45" customHeight="1" x14ac:dyDescent="0.3">
      <c r="A43" s="3" t="s">
        <v>79</v>
      </c>
      <c r="B43" s="14">
        <v>0</v>
      </c>
      <c r="C43" s="10" t="s">
        <v>80</v>
      </c>
    </row>
    <row r="44" spans="1:3" ht="30" customHeight="1" x14ac:dyDescent="0.3">
      <c r="A44" s="3" t="s">
        <v>81</v>
      </c>
      <c r="B44" s="14">
        <v>0</v>
      </c>
      <c r="C44" s="10" t="s">
        <v>82</v>
      </c>
    </row>
    <row r="45" spans="1:3" x14ac:dyDescent="0.3">
      <c r="A45" s="3" t="s">
        <v>83</v>
      </c>
      <c r="B45" s="14">
        <v>0</v>
      </c>
    </row>
    <row r="46" spans="1:3" x14ac:dyDescent="0.3">
      <c r="A46" s="3" t="s">
        <v>84</v>
      </c>
      <c r="B46" s="16">
        <v>4.4999999999999998E-2</v>
      </c>
    </row>
    <row r="48" spans="1:3" x14ac:dyDescent="0.3">
      <c r="A48" s="7" t="s">
        <v>85</v>
      </c>
      <c r="B48" s="8"/>
      <c r="C48" s="8"/>
    </row>
    <row r="49" spans="1:3" ht="45" customHeight="1" x14ac:dyDescent="0.3">
      <c r="A49" s="3" t="s">
        <v>86</v>
      </c>
      <c r="B49" s="12">
        <v>0</v>
      </c>
      <c r="C49" s="10" t="s">
        <v>87</v>
      </c>
    </row>
    <row r="50" spans="1:3" ht="45" customHeight="1" x14ac:dyDescent="0.3">
      <c r="A50" s="3" t="s">
        <v>88</v>
      </c>
      <c r="B50" s="16">
        <v>0.05</v>
      </c>
      <c r="C50" s="10" t="s">
        <v>89</v>
      </c>
    </row>
    <row r="52" spans="1:3" x14ac:dyDescent="0.3">
      <c r="A52" s="7" t="s">
        <v>90</v>
      </c>
      <c r="B52" s="8"/>
      <c r="C52" s="8"/>
    </row>
    <row r="53" spans="1:3" ht="30" customHeight="1" x14ac:dyDescent="0.3">
      <c r="A53" s="3" t="s">
        <v>91</v>
      </c>
      <c r="B53" s="14">
        <v>0</v>
      </c>
      <c r="C53" s="10" t="s">
        <v>92</v>
      </c>
    </row>
    <row r="54" spans="1:3" x14ac:dyDescent="0.3">
      <c r="A54" s="3" t="s">
        <v>93</v>
      </c>
      <c r="B54" s="14">
        <v>0</v>
      </c>
    </row>
    <row r="55" spans="1:3" ht="30" customHeight="1" x14ac:dyDescent="0.3">
      <c r="A55" s="3" t="s">
        <v>94</v>
      </c>
      <c r="B55" s="16">
        <v>4.4999999999999998E-2</v>
      </c>
      <c r="C55" s="10" t="s">
        <v>95</v>
      </c>
    </row>
    <row r="56" spans="1:3" ht="30" customHeight="1" x14ac:dyDescent="0.3">
      <c r="A56" s="3" t="s">
        <v>96</v>
      </c>
      <c r="B56" s="15" t="s">
        <v>97</v>
      </c>
      <c r="C56" s="10" t="s">
        <v>98</v>
      </c>
    </row>
    <row r="57" spans="1:3" ht="45" customHeight="1" x14ac:dyDescent="0.3">
      <c r="A57" s="3" t="s">
        <v>99</v>
      </c>
      <c r="B57" s="17">
        <f>IF(B56="Basic (20%)",0.005,IF(B56="Higher (40%)",0.01,IF(B56="Additional (45%)",0.011,0)))</f>
        <v>5.0000000000000001E-3</v>
      </c>
      <c r="C57" s="10" t="s">
        <v>100</v>
      </c>
    </row>
    <row r="59" spans="1:3" x14ac:dyDescent="0.3">
      <c r="A59" s="7" t="s">
        <v>101</v>
      </c>
      <c r="B59" s="8"/>
      <c r="C59" s="8"/>
    </row>
    <row r="60" spans="1:3" ht="30" customHeight="1" x14ac:dyDescent="0.3">
      <c r="A60" s="10" t="s">
        <v>102</v>
      </c>
    </row>
    <row r="62" spans="1:3" x14ac:dyDescent="0.3">
      <c r="A62" s="4" t="s">
        <v>103</v>
      </c>
    </row>
    <row r="63" spans="1:3" x14ac:dyDescent="0.3">
      <c r="A63" s="3" t="s">
        <v>104</v>
      </c>
      <c r="B63" s="15" t="s">
        <v>105</v>
      </c>
      <c r="C63" s="10" t="s">
        <v>106</v>
      </c>
    </row>
    <row r="64" spans="1:3" x14ac:dyDescent="0.3">
      <c r="A64" s="3" t="s">
        <v>107</v>
      </c>
      <c r="B64" s="14">
        <v>0</v>
      </c>
      <c r="C64" s="10" t="s">
        <v>108</v>
      </c>
    </row>
    <row r="65" spans="1:3" x14ac:dyDescent="0.3">
      <c r="A65" s="3" t="s">
        <v>109</v>
      </c>
      <c r="B65" s="12">
        <v>65</v>
      </c>
      <c r="C65" s="10" t="s">
        <v>108</v>
      </c>
    </row>
    <row r="66" spans="1:3" x14ac:dyDescent="0.3">
      <c r="A66" s="3" t="s">
        <v>110</v>
      </c>
      <c r="B66" s="14">
        <v>0</v>
      </c>
      <c r="C66" s="10" t="s">
        <v>111</v>
      </c>
    </row>
    <row r="67" spans="1:3" x14ac:dyDescent="0.3">
      <c r="A67" s="3" t="s">
        <v>112</v>
      </c>
      <c r="B67" s="16">
        <v>4.4999999999999998E-2</v>
      </c>
      <c r="C67" s="10" t="s">
        <v>111</v>
      </c>
    </row>
    <row r="68" spans="1:3" x14ac:dyDescent="0.3">
      <c r="A68" s="3" t="s">
        <v>113</v>
      </c>
      <c r="B68" s="12">
        <v>57</v>
      </c>
      <c r="C68" s="10" t="s">
        <v>111</v>
      </c>
    </row>
    <row r="69" spans="1:3" x14ac:dyDescent="0.3">
      <c r="A69" s="4" t="s">
        <v>114</v>
      </c>
    </row>
    <row r="70" spans="1:3" x14ac:dyDescent="0.3">
      <c r="A70" s="3" t="s">
        <v>104</v>
      </c>
      <c r="B70" s="15" t="s">
        <v>105</v>
      </c>
      <c r="C70" s="10" t="s">
        <v>106</v>
      </c>
    </row>
    <row r="71" spans="1:3" x14ac:dyDescent="0.3">
      <c r="A71" s="3" t="s">
        <v>107</v>
      </c>
      <c r="B71" s="14">
        <v>0</v>
      </c>
      <c r="C71" s="10" t="s">
        <v>108</v>
      </c>
    </row>
    <row r="72" spans="1:3" x14ac:dyDescent="0.3">
      <c r="A72" s="3" t="s">
        <v>109</v>
      </c>
      <c r="B72" s="12">
        <v>65</v>
      </c>
      <c r="C72" s="10" t="s">
        <v>108</v>
      </c>
    </row>
    <row r="73" spans="1:3" x14ac:dyDescent="0.3">
      <c r="A73" s="3" t="s">
        <v>110</v>
      </c>
      <c r="B73" s="14">
        <v>0</v>
      </c>
      <c r="C73" s="10" t="s">
        <v>111</v>
      </c>
    </row>
    <row r="74" spans="1:3" x14ac:dyDescent="0.3">
      <c r="A74" s="3" t="s">
        <v>112</v>
      </c>
      <c r="B74" s="16">
        <v>4.4999999999999998E-2</v>
      </c>
      <c r="C74" s="10" t="s">
        <v>111</v>
      </c>
    </row>
    <row r="75" spans="1:3" x14ac:dyDescent="0.3">
      <c r="A75" s="3" t="s">
        <v>113</v>
      </c>
      <c r="B75" s="12">
        <v>57</v>
      </c>
      <c r="C75" s="10" t="s">
        <v>111</v>
      </c>
    </row>
    <row r="76" spans="1:3" x14ac:dyDescent="0.3">
      <c r="A76" s="4" t="s">
        <v>115</v>
      </c>
    </row>
    <row r="77" spans="1:3" x14ac:dyDescent="0.3">
      <c r="A77" s="3" t="s">
        <v>104</v>
      </c>
      <c r="B77" s="15" t="s">
        <v>105</v>
      </c>
      <c r="C77" s="10" t="s">
        <v>106</v>
      </c>
    </row>
    <row r="78" spans="1:3" x14ac:dyDescent="0.3">
      <c r="A78" s="3" t="s">
        <v>107</v>
      </c>
      <c r="B78" s="14">
        <v>0</v>
      </c>
      <c r="C78" s="10" t="s">
        <v>108</v>
      </c>
    </row>
    <row r="79" spans="1:3" x14ac:dyDescent="0.3">
      <c r="A79" s="3" t="s">
        <v>109</v>
      </c>
      <c r="B79" s="12">
        <v>65</v>
      </c>
      <c r="C79" s="10" t="s">
        <v>108</v>
      </c>
    </row>
    <row r="80" spans="1:3" x14ac:dyDescent="0.3">
      <c r="A80" s="3" t="s">
        <v>110</v>
      </c>
      <c r="B80" s="14">
        <v>0</v>
      </c>
      <c r="C80" s="10" t="s">
        <v>111</v>
      </c>
    </row>
    <row r="81" spans="1:3" x14ac:dyDescent="0.3">
      <c r="A81" s="3" t="s">
        <v>112</v>
      </c>
      <c r="B81" s="16">
        <v>4.4999999999999998E-2</v>
      </c>
      <c r="C81" s="10" t="s">
        <v>111</v>
      </c>
    </row>
    <row r="82" spans="1:3" x14ac:dyDescent="0.3">
      <c r="A82" s="3" t="s">
        <v>113</v>
      </c>
      <c r="B82" s="12">
        <v>57</v>
      </c>
      <c r="C82" s="10" t="s">
        <v>111</v>
      </c>
    </row>
    <row r="84" spans="1:3" x14ac:dyDescent="0.3">
      <c r="A84" s="7" t="s">
        <v>116</v>
      </c>
      <c r="B84" s="8"/>
      <c r="C84" s="8"/>
    </row>
    <row r="85" spans="1:3" x14ac:dyDescent="0.3">
      <c r="A85" s="3" t="s">
        <v>117</v>
      </c>
      <c r="B85" s="14">
        <v>60000</v>
      </c>
      <c r="C85" s="10" t="s">
        <v>118</v>
      </c>
    </row>
    <row r="86" spans="1:3" ht="30" customHeight="1" x14ac:dyDescent="0.3">
      <c r="A86" s="3" t="s">
        <v>119</v>
      </c>
      <c r="B86" s="15" t="s">
        <v>120</v>
      </c>
      <c r="C86" s="10" t="s">
        <v>121</v>
      </c>
    </row>
    <row r="87" spans="1:3" ht="30" customHeight="1" x14ac:dyDescent="0.3">
      <c r="A87" s="3" t="s">
        <v>122</v>
      </c>
      <c r="B87" s="14">
        <v>0</v>
      </c>
      <c r="C87" s="10" t="s">
        <v>123</v>
      </c>
    </row>
    <row r="89" spans="1:3" x14ac:dyDescent="0.3">
      <c r="A89" s="7" t="s">
        <v>124</v>
      </c>
      <c r="B89" s="8"/>
      <c r="C89" s="8"/>
    </row>
    <row r="90" spans="1:3" ht="75" customHeight="1" x14ac:dyDescent="0.3">
      <c r="A90" s="3" t="s">
        <v>125</v>
      </c>
      <c r="B90" s="15" t="s">
        <v>126</v>
      </c>
      <c r="C90" s="13" t="s">
        <v>127</v>
      </c>
    </row>
    <row r="92" spans="1:3" x14ac:dyDescent="0.3">
      <c r="A92" s="7" t="s">
        <v>128</v>
      </c>
      <c r="B92" s="8"/>
      <c r="C92" s="8"/>
    </row>
    <row r="93" spans="1:3" ht="75" customHeight="1" x14ac:dyDescent="0.3">
      <c r="A93" s="39" t="s">
        <v>129</v>
      </c>
      <c r="B93" s="39"/>
      <c r="C93" s="39"/>
    </row>
    <row r="94" spans="1:3" x14ac:dyDescent="0.3">
      <c r="A94" s="3" t="s">
        <v>130</v>
      </c>
      <c r="B94" s="12">
        <v>57</v>
      </c>
      <c r="C94" s="10" t="s">
        <v>131</v>
      </c>
    </row>
    <row r="95" spans="1:3" x14ac:dyDescent="0.3">
      <c r="A95" s="3" t="s">
        <v>132</v>
      </c>
      <c r="B95" s="12">
        <v>57</v>
      </c>
      <c r="C95" s="10" t="s">
        <v>133</v>
      </c>
    </row>
    <row r="97" spans="1:3" x14ac:dyDescent="0.3">
      <c r="A97" s="3" t="s">
        <v>134</v>
      </c>
      <c r="B97" s="12">
        <v>60</v>
      </c>
    </row>
    <row r="98" spans="1:3" x14ac:dyDescent="0.3">
      <c r="A98" s="3" t="s">
        <v>135</v>
      </c>
      <c r="B98" s="12">
        <v>68</v>
      </c>
      <c r="C98" s="10" t="s">
        <v>133</v>
      </c>
    </row>
    <row r="100" spans="1:3" x14ac:dyDescent="0.3">
      <c r="A100" s="3" t="s">
        <v>136</v>
      </c>
      <c r="B100" s="12">
        <v>67</v>
      </c>
      <c r="C100" s="10" t="s">
        <v>137</v>
      </c>
    </row>
    <row r="101" spans="1:3" x14ac:dyDescent="0.3">
      <c r="A101" s="3" t="s">
        <v>138</v>
      </c>
      <c r="B101" s="12">
        <v>67</v>
      </c>
      <c r="C101" s="10" t="s">
        <v>133</v>
      </c>
    </row>
    <row r="103" spans="1:3" x14ac:dyDescent="0.3">
      <c r="A103" s="7" t="s">
        <v>139</v>
      </c>
      <c r="B103" s="8"/>
      <c r="C103" s="8"/>
    </row>
    <row r="104" spans="1:3" ht="30" customHeight="1" x14ac:dyDescent="0.3">
      <c r="A104" s="3" t="s">
        <v>140</v>
      </c>
      <c r="B104" s="14">
        <v>50000</v>
      </c>
      <c r="C104" s="10" t="s">
        <v>141</v>
      </c>
    </row>
    <row r="105" spans="1:3" x14ac:dyDescent="0.3">
      <c r="A105" s="3" t="s">
        <v>142</v>
      </c>
      <c r="B105" s="12">
        <v>60</v>
      </c>
    </row>
    <row r="106" spans="1:3" ht="30" customHeight="1" x14ac:dyDescent="0.3">
      <c r="A106" s="3" t="s">
        <v>143</v>
      </c>
      <c r="B106" s="16">
        <v>4.4999999999999998E-2</v>
      </c>
      <c r="C106" s="10" t="s">
        <v>144</v>
      </c>
    </row>
    <row r="108" spans="1:3" x14ac:dyDescent="0.3">
      <c r="A108" s="7" t="s">
        <v>145</v>
      </c>
      <c r="B108" s="8"/>
      <c r="C108" s="8"/>
    </row>
    <row r="109" spans="1:3" ht="30" customHeight="1" x14ac:dyDescent="0.3">
      <c r="A109" s="3" t="s">
        <v>146</v>
      </c>
      <c r="B109" s="15" t="s">
        <v>147</v>
      </c>
      <c r="C109" s="10" t="s">
        <v>148</v>
      </c>
    </row>
  </sheetData>
  <mergeCells count="1">
    <mergeCell ref="A93:C93"/>
  </mergeCells>
  <dataValidations count="8">
    <dataValidation type="list" sqref="B18">
      <formula1>"Yes,No"</formula1>
      <formula2>0</formula2>
    </dataValidation>
    <dataValidation type="list" sqref="B56">
      <formula1>"Basic (20%),Higher (40%),Additional (45%),None"</formula1>
      <formula2>0</formula2>
    </dataValidation>
    <dataValidation type="list" sqref="B63">
      <formula1>"Blank,Defined Benefit,Defined Contribution"</formula1>
      <formula2>0</formula2>
    </dataValidation>
    <dataValidation type="list" sqref="B70">
      <formula1>"Blank,Defined Benefit,Defined Contribution"</formula1>
      <formula2>0</formula2>
    </dataValidation>
    <dataValidation type="list" sqref="B77">
      <formula1>"Blank,Defined Benefit,Defined Contribution"</formula1>
      <formula2>0</formula2>
    </dataValidation>
    <dataValidation type="list" sqref="B86">
      <formula1>"Yes,No"</formula1>
      <formula2>0</formula2>
    </dataValidation>
    <dataValidation type="list" sqref="B90">
      <formula1>"4% Safe Withdrawal (perpetual),Bridge — deplete until State Pension Age"</formula1>
      <formula2>0</formula2>
    </dataValidation>
    <dataValidation type="list" sqref="B109">
      <formula1>"One-person,Two-person"</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showGridLines="0" zoomScaleNormal="100" workbookViewId="0"/>
  </sheetViews>
  <sheetFormatPr defaultColWidth="8.6640625" defaultRowHeight="14.4" x14ac:dyDescent="0.3"/>
  <cols>
    <col min="1" max="1" width="42" customWidth="1"/>
    <col min="2" max="2" width="18" customWidth="1"/>
    <col min="3" max="3" width="55" customWidth="1"/>
  </cols>
  <sheetData>
    <row r="1" spans="1:3" ht="21.75" customHeight="1" x14ac:dyDescent="0.35">
      <c r="A1" s="5" t="s">
        <v>149</v>
      </c>
      <c r="B1" s="6"/>
      <c r="C1" s="6"/>
    </row>
    <row r="3" spans="1:3" ht="30" customHeight="1" x14ac:dyDescent="0.3">
      <c r="A3" s="2" t="s">
        <v>150</v>
      </c>
    </row>
    <row r="5" spans="1:3" x14ac:dyDescent="0.3">
      <c r="A5" s="7" t="s">
        <v>151</v>
      </c>
      <c r="B5" s="8"/>
      <c r="C5" s="8"/>
    </row>
    <row r="6" spans="1:3" x14ac:dyDescent="0.3">
      <c r="A6" t="s">
        <v>152</v>
      </c>
      <c r="B6" s="18">
        <f>Inputs!$B$12</f>
        <v>0</v>
      </c>
    </row>
    <row r="7" spans="1:3" x14ac:dyDescent="0.3">
      <c r="A7" t="s">
        <v>153</v>
      </c>
      <c r="B7" s="18">
        <f>Inputs!$B$13</f>
        <v>0</v>
      </c>
    </row>
    <row r="9" spans="1:3" x14ac:dyDescent="0.3">
      <c r="A9" s="7" t="s">
        <v>154</v>
      </c>
      <c r="B9" s="8"/>
      <c r="C9" s="8"/>
    </row>
    <row r="10" spans="1:3" x14ac:dyDescent="0.3">
      <c r="A10" t="s">
        <v>152</v>
      </c>
      <c r="B10" s="18">
        <f>Inputs!$B$14</f>
        <v>0</v>
      </c>
    </row>
    <row r="11" spans="1:3" x14ac:dyDescent="0.3">
      <c r="A11" t="s">
        <v>153</v>
      </c>
      <c r="B11" s="18">
        <f>Inputs!$B$15</f>
        <v>0</v>
      </c>
      <c r="C11" s="10" t="s">
        <v>155</v>
      </c>
    </row>
    <row r="13" spans="1:3" x14ac:dyDescent="0.3">
      <c r="A13" s="7" t="s">
        <v>156</v>
      </c>
      <c r="B13" s="8"/>
      <c r="C13" s="8"/>
    </row>
    <row r="14" spans="1:3" x14ac:dyDescent="0.3">
      <c r="A14" s="4" t="s">
        <v>157</v>
      </c>
      <c r="B14" s="19">
        <f>B6+B10</f>
        <v>0</v>
      </c>
    </row>
    <row r="15" spans="1:3" x14ac:dyDescent="0.3">
      <c r="A15" s="4" t="s">
        <v>158</v>
      </c>
      <c r="B15" s="19">
        <f>B7+B11</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Views>
    <sheetView showGridLines="0" zoomScaleNormal="100" workbookViewId="0">
      <pane ySplit="17" topLeftCell="A18" activePane="bottomLeft" state="frozen"/>
      <selection pane="bottomLeft"/>
    </sheetView>
  </sheetViews>
  <sheetFormatPr defaultColWidth="8.6640625" defaultRowHeight="14.4" x14ac:dyDescent="0.3"/>
  <cols>
    <col min="1" max="1" width="10" customWidth="1"/>
    <col min="2" max="2" width="12" customWidth="1"/>
    <col min="3" max="3" width="8" customWidth="1"/>
    <col min="4" max="6" width="16" customWidth="1"/>
    <col min="7" max="7" width="18" customWidth="1"/>
    <col min="8" max="8" width="16" customWidth="1"/>
  </cols>
  <sheetData>
    <row r="1" spans="1:8" ht="21.75" customHeight="1" x14ac:dyDescent="0.35">
      <c r="A1" s="5" t="s">
        <v>159</v>
      </c>
      <c r="B1" s="6"/>
      <c r="C1" s="6"/>
      <c r="D1" s="6"/>
      <c r="E1" s="6"/>
      <c r="F1" s="6"/>
      <c r="G1" s="6"/>
      <c r="H1" s="6"/>
    </row>
    <row r="3" spans="1:8" x14ac:dyDescent="0.3">
      <c r="A3" s="10" t="s">
        <v>160</v>
      </c>
    </row>
    <row r="5" spans="1:8" x14ac:dyDescent="0.3">
      <c r="A5" s="7" t="s">
        <v>161</v>
      </c>
      <c r="B5" s="8"/>
      <c r="C5" s="8"/>
      <c r="D5" s="8"/>
    </row>
    <row r="6" spans="1:8" ht="45" customHeight="1" x14ac:dyDescent="0.3">
      <c r="A6" s="39" t="s">
        <v>162</v>
      </c>
      <c r="B6" s="39"/>
      <c r="C6" s="39"/>
      <c r="D6" s="39"/>
      <c r="E6" s="39"/>
      <c r="F6" s="39"/>
      <c r="G6" s="39"/>
      <c r="H6" s="39"/>
    </row>
    <row r="7" spans="1:8" ht="30" customHeight="1" x14ac:dyDescent="0.3">
      <c r="A7" s="20" t="s">
        <v>163</v>
      </c>
      <c r="B7" s="20" t="s">
        <v>164</v>
      </c>
      <c r="C7" s="20" t="s">
        <v>165</v>
      </c>
      <c r="D7" s="20" t="s">
        <v>166</v>
      </c>
      <c r="E7" s="20" t="s">
        <v>167</v>
      </c>
    </row>
    <row r="8" spans="1:8" x14ac:dyDescent="0.3">
      <c r="A8" s="21">
        <v>1</v>
      </c>
      <c r="B8" s="22">
        <f>Inputs!$B$23+1</f>
        <v>2025</v>
      </c>
      <c r="C8" s="23">
        <f>Inputs!$B$22</f>
        <v>18000</v>
      </c>
      <c r="D8" s="23">
        <f>IF(1&lt;=MAX(0,Inputs!$B$6-Inputs!$B$23-1),Inputs!$B$24/Inputs!$B$27,0)</f>
        <v>1481.4814814814815</v>
      </c>
      <c r="E8" s="23">
        <f>IF(1&lt;=MAX(0,Inputs!$B$6-Inputs!$B$23-1),C8*(1+Inputs!$B$26)+D8,C8)</f>
        <v>19751.481481481482</v>
      </c>
    </row>
    <row r="9" spans="1:8" x14ac:dyDescent="0.3">
      <c r="A9" s="21">
        <v>2</v>
      </c>
      <c r="B9" s="22">
        <f>Inputs!$B$23+2</f>
        <v>2026</v>
      </c>
      <c r="C9" s="23">
        <f>E8</f>
        <v>19751.481481481482</v>
      </c>
      <c r="D9" s="23">
        <f>IF(2&lt;=MAX(0,Inputs!$B$6-Inputs!$B$23-1),Inputs!$B$24/Inputs!$B$27,0)</f>
        <v>0</v>
      </c>
      <c r="E9" s="23">
        <f>IF(2&lt;=MAX(0,Inputs!$B$6-Inputs!$B$23-1),C9*(1+Inputs!$B$26)+D9,C9)</f>
        <v>19751.481481481482</v>
      </c>
    </row>
    <row r="10" spans="1:8" x14ac:dyDescent="0.3">
      <c r="A10" s="21">
        <v>3</v>
      </c>
      <c r="B10" s="22">
        <f>Inputs!$B$23+3</f>
        <v>2027</v>
      </c>
      <c r="C10" s="23">
        <f>E9</f>
        <v>19751.481481481482</v>
      </c>
      <c r="D10" s="23">
        <f>IF(3&lt;=MAX(0,Inputs!$B$6-Inputs!$B$23-1),Inputs!$B$24/Inputs!$B$27,0)</f>
        <v>0</v>
      </c>
      <c r="E10" s="23">
        <f>IF(3&lt;=MAX(0,Inputs!$B$6-Inputs!$B$23-1),C10*(1+Inputs!$B$26)+D10,C10)</f>
        <v>19751.481481481482</v>
      </c>
    </row>
    <row r="11" spans="1:8" x14ac:dyDescent="0.3">
      <c r="A11" s="21">
        <v>4</v>
      </c>
      <c r="B11" s="22">
        <f>Inputs!$B$23+4</f>
        <v>2028</v>
      </c>
      <c r="C11" s="23">
        <f>E10</f>
        <v>19751.481481481482</v>
      </c>
      <c r="D11" s="23">
        <f>IF(4&lt;=MAX(0,Inputs!$B$6-Inputs!$B$23-1),Inputs!$B$24/Inputs!$B$27,0)</f>
        <v>0</v>
      </c>
      <c r="E11" s="23">
        <f>IF(4&lt;=MAX(0,Inputs!$B$6-Inputs!$B$23-1),C11*(1+Inputs!$B$26)+D11,C11)</f>
        <v>19751.481481481482</v>
      </c>
    </row>
    <row r="12" spans="1:8" x14ac:dyDescent="0.3">
      <c r="A12" s="21">
        <v>5</v>
      </c>
      <c r="B12" s="22">
        <f>Inputs!$B$23+5</f>
        <v>2029</v>
      </c>
      <c r="C12" s="23">
        <f>E11</f>
        <v>19751.481481481482</v>
      </c>
      <c r="D12" s="23">
        <f>IF(5&lt;=MAX(0,Inputs!$B$6-Inputs!$B$23-1),Inputs!$B$24/Inputs!$B$27,0)</f>
        <v>0</v>
      </c>
      <c r="E12" s="23">
        <f>IF(5&lt;=MAX(0,Inputs!$B$6-Inputs!$B$23-1),C12*(1+Inputs!$B$26)+D12,C12)</f>
        <v>19751.481481481482</v>
      </c>
    </row>
    <row r="13" spans="1:8" x14ac:dyDescent="0.3">
      <c r="A13" s="21">
        <v>6</v>
      </c>
      <c r="B13" s="22">
        <f>Inputs!$B$23+6</f>
        <v>2030</v>
      </c>
      <c r="C13" s="23">
        <f>E12</f>
        <v>19751.481481481482</v>
      </c>
      <c r="D13" s="23">
        <f>IF(6&lt;=MAX(0,Inputs!$B$6-Inputs!$B$23-1),Inputs!$B$24/Inputs!$B$27,0)</f>
        <v>0</v>
      </c>
      <c r="E13" s="23">
        <f>IF(6&lt;=MAX(0,Inputs!$B$6-Inputs!$B$23-1),C13*(1+Inputs!$B$26)+D13,C13)</f>
        <v>19751.481481481482</v>
      </c>
    </row>
    <row r="15" spans="1:8" ht="15" customHeight="1" x14ac:dyDescent="0.3">
      <c r="A15" s="39" t="s">
        <v>168</v>
      </c>
      <c r="B15" s="39"/>
      <c r="C15" s="39"/>
      <c r="D15" s="39"/>
      <c r="E15" s="39"/>
      <c r="F15" s="39"/>
      <c r="G15" s="39"/>
      <c r="H15" s="39"/>
    </row>
    <row r="17" spans="1:8" ht="30" customHeight="1" x14ac:dyDescent="0.3">
      <c r="A17" s="20" t="s">
        <v>169</v>
      </c>
      <c r="B17" s="20" t="s">
        <v>164</v>
      </c>
      <c r="C17" s="20" t="s">
        <v>170</v>
      </c>
      <c r="D17" s="20" t="s">
        <v>171</v>
      </c>
      <c r="E17" s="20" t="s">
        <v>172</v>
      </c>
      <c r="F17" s="20" t="s">
        <v>173</v>
      </c>
      <c r="G17" s="20" t="s">
        <v>174</v>
      </c>
      <c r="H17" s="20" t="s">
        <v>175</v>
      </c>
    </row>
    <row r="18" spans="1:8" x14ac:dyDescent="0.3">
      <c r="A18" s="21">
        <v>0</v>
      </c>
      <c r="B18" s="22">
        <f>Inputs!$B$6</f>
        <v>2026</v>
      </c>
      <c r="C18" s="22">
        <f ca="1">Inputs!$B$5</f>
        <v>44</v>
      </c>
      <c r="D18" s="23">
        <f>Inputs!$B$24</f>
        <v>80000</v>
      </c>
      <c r="E18" s="23">
        <f>D18/Inputs!$B$27</f>
        <v>1481.4814814814815</v>
      </c>
      <c r="F18" s="23">
        <f>E13*(1+Inputs!$B$26)</f>
        <v>20047.753703703704</v>
      </c>
      <c r="G18" s="23">
        <f t="shared" ref="G18:G52" si="0">F18+E18</f>
        <v>21529.235185185185</v>
      </c>
      <c r="H18" s="23">
        <f t="shared" ref="H18:H52" si="1">E18*16</f>
        <v>23703.703703703704</v>
      </c>
    </row>
    <row r="19" spans="1:8" x14ac:dyDescent="0.3">
      <c r="A19" s="21">
        <v>1</v>
      </c>
      <c r="B19" s="22">
        <f t="shared" ref="B19:B52" si="2">B18+1</f>
        <v>2027</v>
      </c>
      <c r="C19" s="22">
        <f t="shared" ref="C19:C52" ca="1" si="3">C18+1</f>
        <v>45</v>
      </c>
      <c r="D19" s="23">
        <f>D18*(1+Inputs!$B$25)</f>
        <v>80800</v>
      </c>
      <c r="E19" s="23">
        <f>D19/Inputs!$B$27</f>
        <v>1496.2962962962963</v>
      </c>
      <c r="F19" s="23">
        <f>G18*(1+Inputs!$B$26)</f>
        <v>21852.173712962962</v>
      </c>
      <c r="G19" s="23">
        <f t="shared" si="0"/>
        <v>23348.470009259257</v>
      </c>
      <c r="H19" s="23">
        <f t="shared" si="1"/>
        <v>23940.740740740741</v>
      </c>
    </row>
    <row r="20" spans="1:8" x14ac:dyDescent="0.3">
      <c r="A20" s="21">
        <v>2</v>
      </c>
      <c r="B20" s="22">
        <f t="shared" si="2"/>
        <v>2028</v>
      </c>
      <c r="C20" s="22">
        <f t="shared" ca="1" si="3"/>
        <v>46</v>
      </c>
      <c r="D20" s="23">
        <f>D19*(1+Inputs!$B$25)</f>
        <v>81608</v>
      </c>
      <c r="E20" s="23">
        <f>D20/Inputs!$B$27</f>
        <v>1511.2592592592594</v>
      </c>
      <c r="F20" s="23">
        <f>G19*(1+Inputs!$B$26)</f>
        <v>23698.697059398142</v>
      </c>
      <c r="G20" s="23">
        <f t="shared" si="0"/>
        <v>25209.956318657401</v>
      </c>
      <c r="H20" s="23">
        <f t="shared" si="1"/>
        <v>24180.14814814815</v>
      </c>
    </row>
    <row r="21" spans="1:8" x14ac:dyDescent="0.3">
      <c r="A21" s="21">
        <v>3</v>
      </c>
      <c r="B21" s="22">
        <f t="shared" si="2"/>
        <v>2029</v>
      </c>
      <c r="C21" s="22">
        <f t="shared" ca="1" si="3"/>
        <v>47</v>
      </c>
      <c r="D21" s="23">
        <f>D20*(1+Inputs!$B$25)</f>
        <v>82424.08</v>
      </c>
      <c r="E21" s="23">
        <f>D21/Inputs!$B$27</f>
        <v>1526.3718518518519</v>
      </c>
      <c r="F21" s="23">
        <f>G20*(1+Inputs!$B$26)</f>
        <v>25588.105663437262</v>
      </c>
      <c r="G21" s="23">
        <f t="shared" si="0"/>
        <v>27114.477515289112</v>
      </c>
      <c r="H21" s="23">
        <f t="shared" si="1"/>
        <v>24421.949629629631</v>
      </c>
    </row>
    <row r="22" spans="1:8" x14ac:dyDescent="0.3">
      <c r="A22" s="21">
        <v>4</v>
      </c>
      <c r="B22" s="22">
        <f t="shared" si="2"/>
        <v>2030</v>
      </c>
      <c r="C22" s="22">
        <f t="shared" ca="1" si="3"/>
        <v>48</v>
      </c>
      <c r="D22" s="23">
        <f>D21*(1+Inputs!$B$25)</f>
        <v>83248.320800000001</v>
      </c>
      <c r="E22" s="23">
        <f>D22/Inputs!$B$27</f>
        <v>1541.6355703703705</v>
      </c>
      <c r="F22" s="23">
        <f>G21*(1+Inputs!$B$26)</f>
        <v>27521.194678018448</v>
      </c>
      <c r="G22" s="23">
        <f t="shared" si="0"/>
        <v>29062.830248388818</v>
      </c>
      <c r="H22" s="23">
        <f t="shared" si="1"/>
        <v>24666.169125925928</v>
      </c>
    </row>
    <row r="23" spans="1:8" x14ac:dyDescent="0.3">
      <c r="A23" s="21">
        <v>5</v>
      </c>
      <c r="B23" s="22">
        <f t="shared" si="2"/>
        <v>2031</v>
      </c>
      <c r="C23" s="22">
        <f t="shared" ca="1" si="3"/>
        <v>49</v>
      </c>
      <c r="D23" s="23">
        <f>D22*(1+Inputs!$B$25)</f>
        <v>84080.804008000006</v>
      </c>
      <c r="E23" s="23">
        <f>D23/Inputs!$B$27</f>
        <v>1557.0519260740741</v>
      </c>
      <c r="F23" s="23">
        <f>G22*(1+Inputs!$B$26)</f>
        <v>29498.772702114649</v>
      </c>
      <c r="G23" s="23">
        <f t="shared" si="0"/>
        <v>31055.824628188722</v>
      </c>
      <c r="H23" s="23">
        <f t="shared" si="1"/>
        <v>24912.830817185186</v>
      </c>
    </row>
    <row r="24" spans="1:8" x14ac:dyDescent="0.3">
      <c r="A24" s="21">
        <v>6</v>
      </c>
      <c r="B24" s="22">
        <f t="shared" si="2"/>
        <v>2032</v>
      </c>
      <c r="C24" s="22">
        <f t="shared" ca="1" si="3"/>
        <v>50</v>
      </c>
      <c r="D24" s="23">
        <f>D23*(1+Inputs!$B$25)</f>
        <v>84921.612048080002</v>
      </c>
      <c r="E24" s="23">
        <f>D24/Inputs!$B$27</f>
        <v>1572.6224453348148</v>
      </c>
      <c r="F24" s="23">
        <f>G23*(1+Inputs!$B$26)</f>
        <v>31521.661997611551</v>
      </c>
      <c r="G24" s="23">
        <f t="shared" si="0"/>
        <v>33094.284442946366</v>
      </c>
      <c r="H24" s="23">
        <f t="shared" si="1"/>
        <v>25161.959125357036</v>
      </c>
    </row>
    <row r="25" spans="1:8" x14ac:dyDescent="0.3">
      <c r="A25" s="21">
        <v>7</v>
      </c>
      <c r="B25" s="22">
        <f t="shared" si="2"/>
        <v>2033</v>
      </c>
      <c r="C25" s="22">
        <f t="shared" ca="1" si="3"/>
        <v>51</v>
      </c>
      <c r="D25" s="23">
        <f>D24*(1+Inputs!$B$25)</f>
        <v>85770.828168560809</v>
      </c>
      <c r="E25" s="23">
        <f>D25/Inputs!$B$27</f>
        <v>1588.3486697881631</v>
      </c>
      <c r="F25" s="23">
        <f>G24*(1+Inputs!$B$26)</f>
        <v>33590.698709590557</v>
      </c>
      <c r="G25" s="23">
        <f t="shared" si="0"/>
        <v>35179.047379378717</v>
      </c>
      <c r="H25" s="23">
        <f t="shared" si="1"/>
        <v>25413.578716610609</v>
      </c>
    </row>
    <row r="26" spans="1:8" x14ac:dyDescent="0.3">
      <c r="A26" s="21">
        <v>8</v>
      </c>
      <c r="B26" s="22">
        <f t="shared" si="2"/>
        <v>2034</v>
      </c>
      <c r="C26" s="22">
        <f t="shared" ca="1" si="3"/>
        <v>52</v>
      </c>
      <c r="D26" s="23">
        <f>D25*(1+Inputs!$B$25)</f>
        <v>86628.536450246422</v>
      </c>
      <c r="E26" s="23">
        <f>D26/Inputs!$B$27</f>
        <v>1604.2321564860449</v>
      </c>
      <c r="F26" s="23">
        <f>G25*(1+Inputs!$B$26)</f>
        <v>35706.733090069392</v>
      </c>
      <c r="G26" s="23">
        <f t="shared" si="0"/>
        <v>37310.965246555439</v>
      </c>
      <c r="H26" s="23">
        <f t="shared" si="1"/>
        <v>25667.714503776719</v>
      </c>
    </row>
    <row r="27" spans="1:8" x14ac:dyDescent="0.3">
      <c r="A27" s="21">
        <v>9</v>
      </c>
      <c r="B27" s="22">
        <f t="shared" si="2"/>
        <v>2035</v>
      </c>
      <c r="C27" s="22">
        <f t="shared" ca="1" si="3"/>
        <v>53</v>
      </c>
      <c r="D27" s="23">
        <f>D26*(1+Inputs!$B$25)</f>
        <v>87494.821814748881</v>
      </c>
      <c r="E27" s="23">
        <f>D27/Inputs!$B$27</f>
        <v>1620.2744780509051</v>
      </c>
      <c r="F27" s="23">
        <f>G26*(1+Inputs!$B$26)</f>
        <v>37870.62972525377</v>
      </c>
      <c r="G27" s="23">
        <f t="shared" si="0"/>
        <v>39490.904203304672</v>
      </c>
      <c r="H27" s="23">
        <f t="shared" si="1"/>
        <v>25924.391648814482</v>
      </c>
    </row>
    <row r="28" spans="1:8" x14ac:dyDescent="0.3">
      <c r="A28" s="21">
        <v>10</v>
      </c>
      <c r="B28" s="22">
        <f t="shared" si="2"/>
        <v>2036</v>
      </c>
      <c r="C28" s="22">
        <f t="shared" ca="1" si="3"/>
        <v>54</v>
      </c>
      <c r="D28" s="23">
        <f>D27*(1+Inputs!$B$25)</f>
        <v>88369.770032896369</v>
      </c>
      <c r="E28" s="23">
        <f>D28/Inputs!$B$27</f>
        <v>1636.4772228314143</v>
      </c>
      <c r="F28" s="23">
        <f>G27*(1+Inputs!$B$26)</f>
        <v>40083.267766354234</v>
      </c>
      <c r="G28" s="23">
        <f t="shared" si="0"/>
        <v>41719.744989185652</v>
      </c>
      <c r="H28" s="23">
        <f t="shared" si="1"/>
        <v>26183.635565302629</v>
      </c>
    </row>
    <row r="29" spans="1:8" x14ac:dyDescent="0.3">
      <c r="A29" s="21">
        <v>11</v>
      </c>
      <c r="B29" s="22">
        <f t="shared" si="2"/>
        <v>2037</v>
      </c>
      <c r="C29" s="22">
        <f t="shared" ca="1" si="3"/>
        <v>55</v>
      </c>
      <c r="D29" s="23">
        <f>D28*(1+Inputs!$B$25)</f>
        <v>89253.467733225334</v>
      </c>
      <c r="E29" s="23">
        <f>D29/Inputs!$B$27</f>
        <v>1652.8419950597283</v>
      </c>
      <c r="F29" s="23">
        <f>G28*(1+Inputs!$B$26)</f>
        <v>42345.541164023431</v>
      </c>
      <c r="G29" s="23">
        <f t="shared" si="0"/>
        <v>43998.383159083161</v>
      </c>
      <c r="H29" s="23">
        <f t="shared" si="1"/>
        <v>26445.471920955653</v>
      </c>
    </row>
    <row r="30" spans="1:8" x14ac:dyDescent="0.3">
      <c r="A30" s="21">
        <v>12</v>
      </c>
      <c r="B30" s="22">
        <f t="shared" si="2"/>
        <v>2038</v>
      </c>
      <c r="C30" s="22">
        <f t="shared" ca="1" si="3"/>
        <v>56</v>
      </c>
      <c r="D30" s="23">
        <f>D29*(1+Inputs!$B$25)</f>
        <v>90146.002410557587</v>
      </c>
      <c r="E30" s="23">
        <f>D30/Inputs!$B$27</f>
        <v>1669.3704150103256</v>
      </c>
      <c r="F30" s="23">
        <f>G29*(1+Inputs!$B$26)</f>
        <v>44658.358906469402</v>
      </c>
      <c r="G30" s="23">
        <f t="shared" si="0"/>
        <v>46327.729321479725</v>
      </c>
      <c r="H30" s="23">
        <f t="shared" si="1"/>
        <v>26709.926640165209</v>
      </c>
    </row>
    <row r="31" spans="1:8" x14ac:dyDescent="0.3">
      <c r="A31" s="21">
        <v>13</v>
      </c>
      <c r="B31" s="22">
        <f t="shared" si="2"/>
        <v>2039</v>
      </c>
      <c r="C31" s="22">
        <f t="shared" ca="1" si="3"/>
        <v>57</v>
      </c>
      <c r="D31" s="23">
        <f>D30*(1+Inputs!$B$25)</f>
        <v>91047.462434663161</v>
      </c>
      <c r="E31" s="23">
        <f>D31/Inputs!$B$27</f>
        <v>1686.0641191604288</v>
      </c>
      <c r="F31" s="23">
        <f>G30*(1+Inputs!$B$26)</f>
        <v>47022.645261301914</v>
      </c>
      <c r="G31" s="23">
        <f t="shared" si="0"/>
        <v>48708.709380462344</v>
      </c>
      <c r="H31" s="23">
        <f t="shared" si="1"/>
        <v>26977.025906566862</v>
      </c>
    </row>
    <row r="32" spans="1:8" x14ac:dyDescent="0.3">
      <c r="A32" s="21">
        <v>14</v>
      </c>
      <c r="B32" s="22">
        <f t="shared" si="2"/>
        <v>2040</v>
      </c>
      <c r="C32" s="22">
        <f t="shared" ca="1" si="3"/>
        <v>58</v>
      </c>
      <c r="D32" s="23">
        <f>D31*(1+Inputs!$B$25)</f>
        <v>91957.937059009797</v>
      </c>
      <c r="E32" s="23">
        <f>D32/Inputs!$B$27</f>
        <v>1702.9247603520332</v>
      </c>
      <c r="F32" s="23">
        <f>G31*(1+Inputs!$B$26)</f>
        <v>49439.340021169271</v>
      </c>
      <c r="G32" s="23">
        <f t="shared" si="0"/>
        <v>51142.264781521306</v>
      </c>
      <c r="H32" s="23">
        <f t="shared" si="1"/>
        <v>27246.796165632531</v>
      </c>
    </row>
    <row r="33" spans="1:8" x14ac:dyDescent="0.3">
      <c r="A33" s="21">
        <v>15</v>
      </c>
      <c r="B33" s="22">
        <f t="shared" si="2"/>
        <v>2041</v>
      </c>
      <c r="C33" s="22">
        <f t="shared" ca="1" si="3"/>
        <v>59</v>
      </c>
      <c r="D33" s="23">
        <f>D32*(1+Inputs!$B$25)</f>
        <v>92877.516429599898</v>
      </c>
      <c r="E33" s="23">
        <f>D33/Inputs!$B$27</f>
        <v>1719.9540079555536</v>
      </c>
      <c r="F33" s="23">
        <f>G32*(1+Inputs!$B$26)</f>
        <v>51909.398753244117</v>
      </c>
      <c r="G33" s="23">
        <f t="shared" si="0"/>
        <v>53629.352761199669</v>
      </c>
      <c r="H33" s="23">
        <f t="shared" si="1"/>
        <v>27519.264127288858</v>
      </c>
    </row>
    <row r="34" spans="1:8" x14ac:dyDescent="0.3">
      <c r="A34" s="21">
        <v>16</v>
      </c>
      <c r="B34" s="22">
        <f t="shared" si="2"/>
        <v>2042</v>
      </c>
      <c r="C34" s="22">
        <f t="shared" ca="1" si="3"/>
        <v>60</v>
      </c>
      <c r="D34" s="23">
        <f>D33*(1+Inputs!$B$25)</f>
        <v>93806.291593895905</v>
      </c>
      <c r="E34" s="23">
        <f>D34/Inputs!$B$27</f>
        <v>1737.1535480351095</v>
      </c>
      <c r="F34" s="23">
        <f>G33*(1+Inputs!$B$26)</f>
        <v>54433.793052617657</v>
      </c>
      <c r="G34" s="23">
        <f t="shared" si="0"/>
        <v>56170.946600652765</v>
      </c>
      <c r="H34" s="23">
        <f t="shared" si="1"/>
        <v>27794.456768561751</v>
      </c>
    </row>
    <row r="35" spans="1:8" x14ac:dyDescent="0.3">
      <c r="A35" s="21">
        <v>17</v>
      </c>
      <c r="B35" s="22">
        <f t="shared" si="2"/>
        <v>2043</v>
      </c>
      <c r="C35" s="22">
        <f t="shared" ca="1" si="3"/>
        <v>61</v>
      </c>
      <c r="D35" s="23">
        <f>D34*(1+Inputs!$B$25)</f>
        <v>94744.35450983487</v>
      </c>
      <c r="E35" s="23">
        <f>D35/Inputs!$B$27</f>
        <v>1754.5250835154604</v>
      </c>
      <c r="F35" s="23">
        <f>G34*(1+Inputs!$B$26)</f>
        <v>57013.510799662552</v>
      </c>
      <c r="G35" s="23">
        <f t="shared" si="0"/>
        <v>58768.03588317801</v>
      </c>
      <c r="H35" s="23">
        <f t="shared" si="1"/>
        <v>28072.401336247367</v>
      </c>
    </row>
    <row r="36" spans="1:8" x14ac:dyDescent="0.3">
      <c r="A36" s="21">
        <v>18</v>
      </c>
      <c r="B36" s="22">
        <f t="shared" si="2"/>
        <v>2044</v>
      </c>
      <c r="C36" s="22">
        <f t="shared" ca="1" si="3"/>
        <v>62</v>
      </c>
      <c r="D36" s="23">
        <f>D35*(1+Inputs!$B$25)</f>
        <v>95691.798054933213</v>
      </c>
      <c r="E36" s="23">
        <f>D36/Inputs!$B$27</f>
        <v>1772.070334350615</v>
      </c>
      <c r="F36" s="23">
        <f>G35*(1+Inputs!$B$26)</f>
        <v>59649.556421425674</v>
      </c>
      <c r="G36" s="23">
        <f t="shared" si="0"/>
        <v>61421.626755776291</v>
      </c>
      <c r="H36" s="23">
        <f t="shared" si="1"/>
        <v>28353.12534960984</v>
      </c>
    </row>
    <row r="37" spans="1:8" x14ac:dyDescent="0.3">
      <c r="A37" s="21">
        <v>19</v>
      </c>
      <c r="B37" s="22">
        <f t="shared" si="2"/>
        <v>2045</v>
      </c>
      <c r="C37" s="22">
        <f t="shared" ca="1" si="3"/>
        <v>63</v>
      </c>
      <c r="D37" s="23">
        <f>D36*(1+Inputs!$B$25)</f>
        <v>96648.716035482546</v>
      </c>
      <c r="E37" s="23">
        <f>D37/Inputs!$B$27</f>
        <v>1789.7910376941213</v>
      </c>
      <c r="F37" s="23">
        <f>G36*(1+Inputs!$B$26)</f>
        <v>62342.951157112926</v>
      </c>
      <c r="G37" s="23">
        <f t="shared" si="0"/>
        <v>64132.742194807048</v>
      </c>
      <c r="H37" s="23">
        <f t="shared" si="1"/>
        <v>28636.656603105941</v>
      </c>
    </row>
    <row r="38" spans="1:8" x14ac:dyDescent="0.3">
      <c r="A38" s="21">
        <v>20</v>
      </c>
      <c r="B38" s="22">
        <f t="shared" si="2"/>
        <v>2046</v>
      </c>
      <c r="C38" s="22">
        <f t="shared" ca="1" si="3"/>
        <v>64</v>
      </c>
      <c r="D38" s="23">
        <f>D37*(1+Inputs!$B$25)</f>
        <v>97615.20319583737</v>
      </c>
      <c r="E38" s="23">
        <f>D38/Inputs!$B$27</f>
        <v>1807.6889480710624</v>
      </c>
      <c r="F38" s="23">
        <f>G37*(1+Inputs!$B$26)</f>
        <v>65094.733327729147</v>
      </c>
      <c r="G38" s="23">
        <f t="shared" si="0"/>
        <v>66902.422275800214</v>
      </c>
      <c r="H38" s="23">
        <f t="shared" si="1"/>
        <v>28923.023169136999</v>
      </c>
    </row>
    <row r="39" spans="1:8" x14ac:dyDescent="0.3">
      <c r="A39" s="21">
        <v>21</v>
      </c>
      <c r="B39" s="22">
        <f t="shared" si="2"/>
        <v>2047</v>
      </c>
      <c r="C39" s="22">
        <f t="shared" ca="1" si="3"/>
        <v>65</v>
      </c>
      <c r="D39" s="23">
        <f>D38*(1+Inputs!$B$25)</f>
        <v>98591.35522779575</v>
      </c>
      <c r="E39" s="23">
        <f>D39/Inputs!$B$27</f>
        <v>1825.7658375517731</v>
      </c>
      <c r="F39" s="23">
        <f>G38*(1+Inputs!$B$26)</f>
        <v>67905.95860993721</v>
      </c>
      <c r="G39" s="23">
        <f t="shared" si="0"/>
        <v>69731.724447488989</v>
      </c>
      <c r="H39" s="23">
        <f t="shared" si="1"/>
        <v>29212.253400828369</v>
      </c>
    </row>
    <row r="40" spans="1:8" x14ac:dyDescent="0.3">
      <c r="A40" s="21">
        <v>22</v>
      </c>
      <c r="B40" s="22">
        <f t="shared" si="2"/>
        <v>2048</v>
      </c>
      <c r="C40" s="22">
        <f t="shared" ca="1" si="3"/>
        <v>66</v>
      </c>
      <c r="D40" s="23">
        <f>D39*(1+Inputs!$B$25)</f>
        <v>99577.268780073704</v>
      </c>
      <c r="E40" s="23">
        <f>D40/Inputs!$B$27</f>
        <v>1844.0234959272909</v>
      </c>
      <c r="F40" s="23">
        <f>G39*(1+Inputs!$B$26)</f>
        <v>70777.700314201313</v>
      </c>
      <c r="G40" s="23">
        <f t="shared" si="0"/>
        <v>72621.723810128606</v>
      </c>
      <c r="H40" s="23">
        <f t="shared" si="1"/>
        <v>29504.375934836655</v>
      </c>
    </row>
    <row r="41" spans="1:8" x14ac:dyDescent="0.3">
      <c r="A41" s="21">
        <v>23</v>
      </c>
      <c r="B41" s="22">
        <f t="shared" si="2"/>
        <v>2049</v>
      </c>
      <c r="C41" s="22">
        <f t="shared" ca="1" si="3"/>
        <v>67</v>
      </c>
      <c r="D41" s="23">
        <f>D40*(1+Inputs!$B$25)</f>
        <v>100573.04146787444</v>
      </c>
      <c r="E41" s="23">
        <f>D41/Inputs!$B$27</f>
        <v>1862.4637308865638</v>
      </c>
      <c r="F41" s="23">
        <f>G40*(1+Inputs!$B$26)</f>
        <v>73711.049667280531</v>
      </c>
      <c r="G41" s="23">
        <f t="shared" si="0"/>
        <v>75573.513398167095</v>
      </c>
      <c r="H41" s="23">
        <f t="shared" si="1"/>
        <v>29799.41969418502</v>
      </c>
    </row>
    <row r="42" spans="1:8" x14ac:dyDescent="0.3">
      <c r="A42" s="21">
        <v>24</v>
      </c>
      <c r="B42" s="22">
        <f t="shared" si="2"/>
        <v>2050</v>
      </c>
      <c r="C42" s="22">
        <f t="shared" ca="1" si="3"/>
        <v>68</v>
      </c>
      <c r="D42" s="23">
        <f>D41*(1+Inputs!$B$25)</f>
        <v>101578.77188255319</v>
      </c>
      <c r="E42" s="23">
        <f>D42/Inputs!$B$27</f>
        <v>1881.0883681954294</v>
      </c>
      <c r="F42" s="23">
        <f>G41*(1+Inputs!$B$26)</f>
        <v>76707.116099139588</v>
      </c>
      <c r="G42" s="23">
        <f t="shared" si="0"/>
        <v>78588.204467335017</v>
      </c>
      <c r="H42" s="23">
        <f t="shared" si="1"/>
        <v>30097.413891126871</v>
      </c>
    </row>
    <row r="43" spans="1:8" x14ac:dyDescent="0.3">
      <c r="A43" s="21">
        <v>25</v>
      </c>
      <c r="B43" s="22">
        <f t="shared" si="2"/>
        <v>2051</v>
      </c>
      <c r="C43" s="22">
        <f t="shared" ca="1" si="3"/>
        <v>69</v>
      </c>
      <c r="D43" s="23">
        <f>D42*(1+Inputs!$B$25)</f>
        <v>102594.55960137873</v>
      </c>
      <c r="E43" s="23">
        <f>D43/Inputs!$B$27</f>
        <v>1899.8992518773839</v>
      </c>
      <c r="F43" s="23">
        <f>G42*(1+Inputs!$B$26)</f>
        <v>79767.027534345034</v>
      </c>
      <c r="G43" s="23">
        <f t="shared" si="0"/>
        <v>81666.926786222422</v>
      </c>
      <c r="H43" s="23">
        <f t="shared" si="1"/>
        <v>30398.388030038142</v>
      </c>
    </row>
    <row r="44" spans="1:8" x14ac:dyDescent="0.3">
      <c r="A44" s="21">
        <v>26</v>
      </c>
      <c r="B44" s="22">
        <f t="shared" si="2"/>
        <v>2052</v>
      </c>
      <c r="C44" s="22">
        <f t="shared" ca="1" si="3"/>
        <v>70</v>
      </c>
      <c r="D44" s="23">
        <f>D43*(1+Inputs!$B$25)</f>
        <v>103620.50519739251</v>
      </c>
      <c r="E44" s="23">
        <f>D44/Inputs!$B$27</f>
        <v>1918.8982443961577</v>
      </c>
      <c r="F44" s="23">
        <f>G43*(1+Inputs!$B$26)</f>
        <v>82891.930688015753</v>
      </c>
      <c r="G44" s="23">
        <f t="shared" si="0"/>
        <v>84810.828932411911</v>
      </c>
      <c r="H44" s="23">
        <f t="shared" si="1"/>
        <v>30702.371910338523</v>
      </c>
    </row>
    <row r="45" spans="1:8" x14ac:dyDescent="0.3">
      <c r="A45" s="21">
        <v>27</v>
      </c>
      <c r="B45" s="22">
        <f t="shared" si="2"/>
        <v>2053</v>
      </c>
      <c r="C45" s="22">
        <f t="shared" ca="1" si="3"/>
        <v>71</v>
      </c>
      <c r="D45" s="23">
        <f>D44*(1+Inputs!$B$25)</f>
        <v>104656.71024936644</v>
      </c>
      <c r="E45" s="23">
        <f>D45/Inputs!$B$27</f>
        <v>1938.0872268401192</v>
      </c>
      <c r="F45" s="23">
        <f>G44*(1+Inputs!$B$26)</f>
        <v>86082.991366398084</v>
      </c>
      <c r="G45" s="23">
        <f t="shared" si="0"/>
        <v>88021.078593238199</v>
      </c>
      <c r="H45" s="23">
        <f t="shared" si="1"/>
        <v>31009.395629441908</v>
      </c>
    </row>
    <row r="46" spans="1:8" x14ac:dyDescent="0.3">
      <c r="A46" s="21">
        <v>28</v>
      </c>
      <c r="B46" s="22">
        <f t="shared" si="2"/>
        <v>2054</v>
      </c>
      <c r="C46" s="22">
        <f t="shared" ca="1" si="3"/>
        <v>72</v>
      </c>
      <c r="D46" s="23">
        <f>D45*(1+Inputs!$B$25)</f>
        <v>105703.2773518601</v>
      </c>
      <c r="E46" s="23">
        <f>D46/Inputs!$B$27</f>
        <v>1957.4680991085204</v>
      </c>
      <c r="F46" s="23">
        <f>G45*(1+Inputs!$B$26)</f>
        <v>89341.394772136759</v>
      </c>
      <c r="G46" s="23">
        <f t="shared" si="0"/>
        <v>91298.862871245277</v>
      </c>
      <c r="H46" s="23">
        <f t="shared" si="1"/>
        <v>31319.489585736326</v>
      </c>
    </row>
    <row r="47" spans="1:8" x14ac:dyDescent="0.3">
      <c r="A47" s="21">
        <v>29</v>
      </c>
      <c r="B47" s="22">
        <f t="shared" si="2"/>
        <v>2055</v>
      </c>
      <c r="C47" s="22">
        <f t="shared" ca="1" si="3"/>
        <v>73</v>
      </c>
      <c r="D47" s="23">
        <f>D46*(1+Inputs!$B$25)</f>
        <v>106760.3101253787</v>
      </c>
      <c r="E47" s="23">
        <f>D47/Inputs!$B$27</f>
        <v>1977.0427800996056</v>
      </c>
      <c r="F47" s="23">
        <f>G46*(1+Inputs!$B$26)</f>
        <v>92668.345814313943</v>
      </c>
      <c r="G47" s="23">
        <f t="shared" si="0"/>
        <v>94645.388594413555</v>
      </c>
      <c r="H47" s="23">
        <f t="shared" si="1"/>
        <v>31632.684481593689</v>
      </c>
    </row>
    <row r="48" spans="1:8" x14ac:dyDescent="0.3">
      <c r="A48" s="21">
        <v>30</v>
      </c>
      <c r="B48" s="22">
        <f t="shared" si="2"/>
        <v>2056</v>
      </c>
      <c r="C48" s="22">
        <f t="shared" ca="1" si="3"/>
        <v>74</v>
      </c>
      <c r="D48" s="23">
        <f>D47*(1+Inputs!$B$25)</f>
        <v>107827.91322663249</v>
      </c>
      <c r="E48" s="23">
        <f>D48/Inputs!$B$27</f>
        <v>1996.8132079006016</v>
      </c>
      <c r="F48" s="23">
        <f>G47*(1+Inputs!$B$26)</f>
        <v>96065.069423329754</v>
      </c>
      <c r="G48" s="23">
        <f t="shared" si="0"/>
        <v>98061.882631230357</v>
      </c>
      <c r="H48" s="23">
        <f t="shared" si="1"/>
        <v>31949.011326409625</v>
      </c>
    </row>
    <row r="49" spans="1:8" x14ac:dyDescent="0.3">
      <c r="A49" s="21">
        <v>31</v>
      </c>
      <c r="B49" s="22">
        <f t="shared" si="2"/>
        <v>2057</v>
      </c>
      <c r="C49" s="22">
        <f t="shared" ca="1" si="3"/>
        <v>75</v>
      </c>
      <c r="D49" s="23">
        <f>D48*(1+Inputs!$B$25)</f>
        <v>108906.19235889881</v>
      </c>
      <c r="E49" s="23">
        <f>D49/Inputs!$B$27</f>
        <v>2016.7813399796078</v>
      </c>
      <c r="F49" s="23">
        <f>G48*(1+Inputs!$B$26)</f>
        <v>99532.810870698799</v>
      </c>
      <c r="G49" s="23">
        <f t="shared" si="0"/>
        <v>101549.59221067841</v>
      </c>
      <c r="H49" s="23">
        <f t="shared" si="1"/>
        <v>32268.501439673724</v>
      </c>
    </row>
    <row r="50" spans="1:8" x14ac:dyDescent="0.3">
      <c r="A50" s="21">
        <v>32</v>
      </c>
      <c r="B50" s="22">
        <f t="shared" si="2"/>
        <v>2058</v>
      </c>
      <c r="C50" s="22">
        <f t="shared" ca="1" si="3"/>
        <v>76</v>
      </c>
      <c r="D50" s="23">
        <f>D49*(1+Inputs!$B$25)</f>
        <v>109995.2542824878</v>
      </c>
      <c r="E50" s="23">
        <f>D50/Inputs!$B$27</f>
        <v>2036.9491533794037</v>
      </c>
      <c r="F50" s="23">
        <f>G49*(1+Inputs!$B$26)</f>
        <v>103072.83609383857</v>
      </c>
      <c r="G50" s="23">
        <f t="shared" si="0"/>
        <v>105109.78524721798</v>
      </c>
      <c r="H50" s="23">
        <f t="shared" si="1"/>
        <v>32591.186454070459</v>
      </c>
    </row>
    <row r="51" spans="1:8" x14ac:dyDescent="0.3">
      <c r="A51" s="21">
        <v>33</v>
      </c>
      <c r="B51" s="22">
        <f t="shared" si="2"/>
        <v>2059</v>
      </c>
      <c r="C51" s="22">
        <f t="shared" ca="1" si="3"/>
        <v>77</v>
      </c>
      <c r="D51" s="23">
        <f>D50*(1+Inputs!$B$25)</f>
        <v>111095.20682531268</v>
      </c>
      <c r="E51" s="23">
        <f>D51/Inputs!$B$27</f>
        <v>2057.3186449131977</v>
      </c>
      <c r="F51" s="23">
        <f>G50*(1+Inputs!$B$26)</f>
        <v>106686.43202592625</v>
      </c>
      <c r="G51" s="23">
        <f t="shared" si="0"/>
        <v>108743.75067083945</v>
      </c>
      <c r="H51" s="23">
        <f t="shared" si="1"/>
        <v>32917.098318611163</v>
      </c>
    </row>
    <row r="52" spans="1:8" x14ac:dyDescent="0.3">
      <c r="A52" s="21">
        <v>34</v>
      </c>
      <c r="B52" s="22">
        <f t="shared" si="2"/>
        <v>2060</v>
      </c>
      <c r="C52" s="22">
        <f t="shared" ca="1" si="3"/>
        <v>78</v>
      </c>
      <c r="D52" s="23">
        <f>D51*(1+Inputs!$B$25)</f>
        <v>112206.15889356581</v>
      </c>
      <c r="E52" s="23">
        <f>D52/Inputs!$B$27</f>
        <v>2077.8918313623299</v>
      </c>
      <c r="F52" s="23">
        <f>G51*(1+Inputs!$B$26)</f>
        <v>110374.90693090203</v>
      </c>
      <c r="G52" s="23">
        <f t="shared" si="0"/>
        <v>112452.79876226436</v>
      </c>
      <c r="H52" s="23">
        <f t="shared" si="1"/>
        <v>33246.269301797278</v>
      </c>
    </row>
    <row r="54" spans="1:8" ht="45" customHeight="1" x14ac:dyDescent="0.3">
      <c r="A54" s="39" t="s">
        <v>176</v>
      </c>
      <c r="B54" s="39"/>
      <c r="C54" s="39"/>
      <c r="D54" s="39"/>
      <c r="E54" s="39"/>
      <c r="F54" s="39"/>
      <c r="G54" s="39"/>
      <c r="H54" s="39"/>
    </row>
  </sheetData>
  <mergeCells count="3">
    <mergeCell ref="A6:H6"/>
    <mergeCell ref="A15:H15"/>
    <mergeCell ref="A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showGridLines="0" zoomScaleNormal="100" workbookViewId="0">
      <pane ySplit="4" topLeftCell="A5" activePane="bottomLeft" state="frozen"/>
      <selection pane="bottomLeft"/>
    </sheetView>
  </sheetViews>
  <sheetFormatPr defaultColWidth="8.6640625" defaultRowHeight="14.4" x14ac:dyDescent="0.3"/>
  <cols>
    <col min="1" max="1" width="10" customWidth="1"/>
    <col min="2" max="2" width="12" customWidth="1"/>
    <col min="3" max="3" width="8" customWidth="1"/>
    <col min="4" max="10" width="16" customWidth="1"/>
  </cols>
  <sheetData>
    <row r="1" spans="1:10" ht="21.75" customHeight="1" x14ac:dyDescent="0.35">
      <c r="A1" s="5" t="s">
        <v>177</v>
      </c>
      <c r="B1" s="6"/>
      <c r="C1" s="6"/>
      <c r="D1" s="6"/>
      <c r="E1" s="6"/>
      <c r="F1" s="6"/>
      <c r="G1" s="6"/>
      <c r="H1" s="6"/>
      <c r="I1" s="6"/>
      <c r="J1" s="6"/>
    </row>
    <row r="4" spans="1:10" ht="30" customHeight="1" x14ac:dyDescent="0.3">
      <c r="A4" s="20" t="s">
        <v>169</v>
      </c>
      <c r="B4" s="20" t="s">
        <v>164</v>
      </c>
      <c r="C4" s="20" t="s">
        <v>170</v>
      </c>
      <c r="D4" s="20" t="s">
        <v>178</v>
      </c>
      <c r="E4" s="20" t="s">
        <v>179</v>
      </c>
      <c r="F4" s="20" t="s">
        <v>180</v>
      </c>
      <c r="G4" s="20" t="s">
        <v>181</v>
      </c>
      <c r="H4" s="20" t="s">
        <v>182</v>
      </c>
      <c r="I4" s="20" t="s">
        <v>183</v>
      </c>
    </row>
    <row r="5" spans="1:10" x14ac:dyDescent="0.3">
      <c r="A5" s="21">
        <v>0</v>
      </c>
      <c r="B5" s="22">
        <f>Inputs!$B$6</f>
        <v>2026</v>
      </c>
      <c r="C5" s="22">
        <f ca="1">Inputs!$B$5</f>
        <v>44</v>
      </c>
      <c r="D5" s="23">
        <f>Inputs!$B$30*(1+Inputs!$B$32)+Inputs!$B$31</f>
        <v>47800</v>
      </c>
      <c r="E5" s="23">
        <f ca="1">Inputs!$B$34*(1+Inputs!$B$36)+IF(C5&lt;50,Inputs!$B$35*1.25,0)</f>
        <v>20675</v>
      </c>
      <c r="F5" s="23">
        <f>Inputs!$B$38*(1+Inputs!$B$40)+Inputs!$B$39</f>
        <v>34125</v>
      </c>
      <c r="G5" s="23">
        <f>Inputs!$B$44*(1+Inputs!$B$46)+Inputs!$B$45</f>
        <v>0</v>
      </c>
      <c r="H5" s="23">
        <f>Inputs!$B$53*(1+(Inputs!$B$55-Inputs!$B$57))+Inputs!$B$54</f>
        <v>0</v>
      </c>
      <c r="I5" s="23">
        <f t="shared" ref="I5:I39" ca="1" si="0">D5+E5+F5+G5+H5</f>
        <v>102600</v>
      </c>
    </row>
    <row r="6" spans="1:10" x14ac:dyDescent="0.3">
      <c r="A6" s="21">
        <v>1</v>
      </c>
      <c r="B6" s="22">
        <f t="shared" ref="B6:B39" si="1">B5+1</f>
        <v>2027</v>
      </c>
      <c r="C6" s="22">
        <f t="shared" ref="C6:C39" ca="1" si="2">C5+1</f>
        <v>45</v>
      </c>
      <c r="D6" s="23">
        <f>D5*(1+Inputs!$B$32)+Inputs!$B$31</f>
        <v>55951</v>
      </c>
      <c r="E6" s="23">
        <f ca="1">E5*(1+Inputs!$B$36)+IF(C6&lt;50,Inputs!$B$35*1.25,0)</f>
        <v>26605.375</v>
      </c>
      <c r="F6" s="23">
        <f>F5*(1+Inputs!$B$40)+Inputs!$B$39</f>
        <v>43660.625</v>
      </c>
      <c r="G6" s="23">
        <f>G5*(1+Inputs!$B$46)+Inputs!$B$45</f>
        <v>0</v>
      </c>
      <c r="H6" s="23">
        <f>H5*(1+(Inputs!$B$55-Inputs!$B$57))+Inputs!$B$54</f>
        <v>0</v>
      </c>
      <c r="I6" s="23">
        <f t="shared" ca="1" si="0"/>
        <v>126217</v>
      </c>
    </row>
    <row r="7" spans="1:10" x14ac:dyDescent="0.3">
      <c r="A7" s="21">
        <v>2</v>
      </c>
      <c r="B7" s="22">
        <f t="shared" si="1"/>
        <v>2028</v>
      </c>
      <c r="C7" s="22">
        <f t="shared" ca="1" si="2"/>
        <v>46</v>
      </c>
      <c r="D7" s="23">
        <f>D6*(1+Inputs!$B$32)+Inputs!$B$31</f>
        <v>64468.794999999998</v>
      </c>
      <c r="E7" s="23">
        <f ca="1">E6*(1+Inputs!$B$36)+IF(C7&lt;50,Inputs!$B$35*1.25,0)</f>
        <v>32802.616875</v>
      </c>
      <c r="F7" s="23">
        <f>F6*(1+Inputs!$B$40)+Inputs!$B$39</f>
        <v>53625.353124999994</v>
      </c>
      <c r="G7" s="23">
        <f>G6*(1+Inputs!$B$46)+Inputs!$B$45</f>
        <v>0</v>
      </c>
      <c r="H7" s="23">
        <f>H6*(1+(Inputs!$B$55-Inputs!$B$57))+Inputs!$B$54</f>
        <v>0</v>
      </c>
      <c r="I7" s="23">
        <f t="shared" ca="1" si="0"/>
        <v>150896.76499999998</v>
      </c>
    </row>
    <row r="8" spans="1:10" x14ac:dyDescent="0.3">
      <c r="A8" s="21">
        <v>3</v>
      </c>
      <c r="B8" s="22">
        <f t="shared" si="1"/>
        <v>2029</v>
      </c>
      <c r="C8" s="22">
        <f t="shared" ca="1" si="2"/>
        <v>47</v>
      </c>
      <c r="D8" s="23">
        <f>D7*(1+Inputs!$B$32)+Inputs!$B$31</f>
        <v>73369.890774999993</v>
      </c>
      <c r="E8" s="23">
        <f ca="1">E7*(1+Inputs!$B$36)+IF(C8&lt;50,Inputs!$B$35*1.25,0)</f>
        <v>39278.734634374996</v>
      </c>
      <c r="F8" s="23">
        <f>F7*(1+Inputs!$B$40)+Inputs!$B$39</f>
        <v>64038.494015624987</v>
      </c>
      <c r="G8" s="23">
        <f>G7*(1+Inputs!$B$46)+Inputs!$B$45</f>
        <v>0</v>
      </c>
      <c r="H8" s="23">
        <f>H7*(1+(Inputs!$B$55-Inputs!$B$57))+Inputs!$B$54</f>
        <v>0</v>
      </c>
      <c r="I8" s="23">
        <f t="shared" ca="1" si="0"/>
        <v>176687.11942499998</v>
      </c>
    </row>
    <row r="9" spans="1:10" x14ac:dyDescent="0.3">
      <c r="A9" s="21">
        <v>4</v>
      </c>
      <c r="B9" s="22">
        <f t="shared" si="1"/>
        <v>2030</v>
      </c>
      <c r="C9" s="22">
        <f t="shared" ca="1" si="2"/>
        <v>48</v>
      </c>
      <c r="D9" s="23">
        <f>D8*(1+Inputs!$B$32)+Inputs!$B$31</f>
        <v>82671.535859874988</v>
      </c>
      <c r="E9" s="23">
        <f ca="1">E8*(1+Inputs!$B$36)+IF(C9&lt;50,Inputs!$B$35*1.25,0)</f>
        <v>46046.277692921867</v>
      </c>
      <c r="F9" s="23">
        <f>F8*(1+Inputs!$B$40)+Inputs!$B$39</f>
        <v>74920.226246328108</v>
      </c>
      <c r="G9" s="23">
        <f>G8*(1+Inputs!$B$46)+Inputs!$B$45</f>
        <v>0</v>
      </c>
      <c r="H9" s="23">
        <f>H8*(1+(Inputs!$B$55-Inputs!$B$57))+Inputs!$B$54</f>
        <v>0</v>
      </c>
      <c r="I9" s="23">
        <f t="shared" ca="1" si="0"/>
        <v>203638.03979912496</v>
      </c>
    </row>
    <row r="10" spans="1:10" x14ac:dyDescent="0.3">
      <c r="A10" s="21">
        <v>5</v>
      </c>
      <c r="B10" s="22">
        <f t="shared" si="1"/>
        <v>2031</v>
      </c>
      <c r="C10" s="22">
        <f t="shared" ca="1" si="2"/>
        <v>49</v>
      </c>
      <c r="D10" s="23">
        <f>D9*(1+Inputs!$B$32)+Inputs!$B$31</f>
        <v>92391.754973569361</v>
      </c>
      <c r="E10" s="23">
        <f ca="1">E9*(1+Inputs!$B$36)+IF(C10&lt;50,Inputs!$B$35*1.25,0)</f>
        <v>53118.360189103347</v>
      </c>
      <c r="F10" s="23">
        <f>F9*(1+Inputs!$B$40)+Inputs!$B$39</f>
        <v>86291.636427412872</v>
      </c>
      <c r="G10" s="23">
        <f>G9*(1+Inputs!$B$46)+Inputs!$B$45</f>
        <v>0</v>
      </c>
      <c r="H10" s="23">
        <f>H9*(1+(Inputs!$B$55-Inputs!$B$57))+Inputs!$B$54</f>
        <v>0</v>
      </c>
      <c r="I10" s="23">
        <f t="shared" ca="1" si="0"/>
        <v>231801.75159008557</v>
      </c>
    </row>
    <row r="11" spans="1:10" x14ac:dyDescent="0.3">
      <c r="A11" s="21">
        <v>6</v>
      </c>
      <c r="B11" s="22">
        <f t="shared" si="1"/>
        <v>2032</v>
      </c>
      <c r="C11" s="22">
        <f t="shared" ca="1" si="2"/>
        <v>50</v>
      </c>
      <c r="D11" s="23">
        <f>D10*(1+Inputs!$B$32)+Inputs!$B$31</f>
        <v>102549.38394737997</v>
      </c>
      <c r="E11" s="23">
        <f ca="1">E10*(1+Inputs!$B$36)+IF(C11&lt;50,Inputs!$B$35*1.25,0)</f>
        <v>55508.686397612997</v>
      </c>
      <c r="F11" s="23">
        <f>F10*(1+Inputs!$B$40)+Inputs!$B$39</f>
        <v>98174.760066646442</v>
      </c>
      <c r="G11" s="23">
        <f>G10*(1+Inputs!$B$46)+Inputs!$B$45</f>
        <v>0</v>
      </c>
      <c r="H11" s="23">
        <f>H10*(1+(Inputs!$B$55-Inputs!$B$57))+Inputs!$B$54</f>
        <v>0</v>
      </c>
      <c r="I11" s="23">
        <f t="shared" ca="1" si="0"/>
        <v>256232.83041163941</v>
      </c>
    </row>
    <row r="12" spans="1:10" x14ac:dyDescent="0.3">
      <c r="A12" s="21">
        <v>7</v>
      </c>
      <c r="B12" s="22">
        <f t="shared" si="1"/>
        <v>2033</v>
      </c>
      <c r="C12" s="22">
        <f t="shared" ca="1" si="2"/>
        <v>51</v>
      </c>
      <c r="D12" s="23">
        <f>D11*(1+Inputs!$B$32)+Inputs!$B$31</f>
        <v>113164.10622501206</v>
      </c>
      <c r="E12" s="23">
        <f ca="1">E11*(1+Inputs!$B$36)+IF(C12&lt;50,Inputs!$B$35*1.25,0)</f>
        <v>58006.577285505577</v>
      </c>
      <c r="F12" s="23">
        <f>F11*(1+Inputs!$B$40)+Inputs!$B$39</f>
        <v>110592.62426964553</v>
      </c>
      <c r="G12" s="23">
        <f>G11*(1+Inputs!$B$46)+Inputs!$B$45</f>
        <v>0</v>
      </c>
      <c r="H12" s="23">
        <f>H11*(1+(Inputs!$B$55-Inputs!$B$57))+Inputs!$B$54</f>
        <v>0</v>
      </c>
      <c r="I12" s="23">
        <f t="shared" ca="1" si="0"/>
        <v>281763.30778016319</v>
      </c>
    </row>
    <row r="13" spans="1:10" x14ac:dyDescent="0.3">
      <c r="A13" s="21">
        <v>8</v>
      </c>
      <c r="B13" s="22">
        <f t="shared" si="1"/>
        <v>2034</v>
      </c>
      <c r="C13" s="22">
        <f t="shared" ca="1" si="2"/>
        <v>52</v>
      </c>
      <c r="D13" s="23">
        <f>D12*(1+Inputs!$B$32)+Inputs!$B$31</f>
        <v>124256.49100513759</v>
      </c>
      <c r="E13" s="23">
        <f ca="1">E12*(1+Inputs!$B$36)+IF(C13&lt;50,Inputs!$B$35*1.25,0)</f>
        <v>60616.873263353322</v>
      </c>
      <c r="F13" s="23">
        <f>F12*(1+Inputs!$B$40)+Inputs!$B$39</f>
        <v>123569.29236177958</v>
      </c>
      <c r="G13" s="23">
        <f>G12*(1+Inputs!$B$46)+Inputs!$B$45</f>
        <v>0</v>
      </c>
      <c r="H13" s="23">
        <f>H12*(1+(Inputs!$B$55-Inputs!$B$57))+Inputs!$B$54</f>
        <v>0</v>
      </c>
      <c r="I13" s="23">
        <f t="shared" ca="1" si="0"/>
        <v>308442.65663027053</v>
      </c>
    </row>
    <row r="14" spans="1:10" x14ac:dyDescent="0.3">
      <c r="A14" s="21">
        <v>9</v>
      </c>
      <c r="B14" s="22">
        <f t="shared" si="1"/>
        <v>2035</v>
      </c>
      <c r="C14" s="22">
        <f t="shared" ca="1" si="2"/>
        <v>53</v>
      </c>
      <c r="D14" s="23">
        <f>D13*(1+Inputs!$B$32)+Inputs!$B$31</f>
        <v>135848.03310036878</v>
      </c>
      <c r="E14" s="23">
        <f ca="1">E13*(1+Inputs!$B$36)+IF(C14&lt;50,Inputs!$B$35*1.25,0)</f>
        <v>63344.63256020422</v>
      </c>
      <c r="F14" s="23">
        <f>F13*(1+Inputs!$B$40)+Inputs!$B$39</f>
        <v>137129.91051805965</v>
      </c>
      <c r="G14" s="23">
        <f>G13*(1+Inputs!$B$46)+Inputs!$B$45</f>
        <v>0</v>
      </c>
      <c r="H14" s="23">
        <f>H13*(1+(Inputs!$B$55-Inputs!$B$57))+Inputs!$B$54</f>
        <v>0</v>
      </c>
      <c r="I14" s="23">
        <f t="shared" ca="1" si="0"/>
        <v>336322.57617863268</v>
      </c>
    </row>
    <row r="15" spans="1:10" x14ac:dyDescent="0.3">
      <c r="A15" s="21">
        <v>10</v>
      </c>
      <c r="B15" s="22">
        <f t="shared" si="1"/>
        <v>2036</v>
      </c>
      <c r="C15" s="22">
        <f t="shared" ca="1" si="2"/>
        <v>54</v>
      </c>
      <c r="D15" s="23">
        <f>D14*(1+Inputs!$B$32)+Inputs!$B$31</f>
        <v>147961.19458988536</v>
      </c>
      <c r="E15" s="23">
        <f ca="1">E14*(1+Inputs!$B$36)+IF(C15&lt;50,Inputs!$B$35*1.25,0)</f>
        <v>66195.14102541341</v>
      </c>
      <c r="F15" s="23">
        <f>F14*(1+Inputs!$B$40)+Inputs!$B$39</f>
        <v>151300.75649137233</v>
      </c>
      <c r="G15" s="23">
        <f>G14*(1+Inputs!$B$46)+Inputs!$B$45</f>
        <v>0</v>
      </c>
      <c r="H15" s="23">
        <f>H14*(1+(Inputs!$B$55-Inputs!$B$57))+Inputs!$B$54</f>
        <v>0</v>
      </c>
      <c r="I15" s="23">
        <f t="shared" ca="1" si="0"/>
        <v>365457.09210667107</v>
      </c>
    </row>
    <row r="16" spans="1:10" x14ac:dyDescent="0.3">
      <c r="A16" s="21">
        <v>11</v>
      </c>
      <c r="B16" s="22">
        <f t="shared" si="1"/>
        <v>2037</v>
      </c>
      <c r="C16" s="22">
        <f t="shared" ca="1" si="2"/>
        <v>55</v>
      </c>
      <c r="D16" s="23">
        <f>D15*(1+Inputs!$B$32)+Inputs!$B$31</f>
        <v>160619.4483464302</v>
      </c>
      <c r="E16" s="23">
        <f ca="1">E15*(1+Inputs!$B$36)+IF(C16&lt;50,Inputs!$B$35*1.25,0)</f>
        <v>69173.922371557012</v>
      </c>
      <c r="F16" s="23">
        <f>F15*(1+Inputs!$B$40)+Inputs!$B$39</f>
        <v>166109.29053348408</v>
      </c>
      <c r="G16" s="23">
        <f>G15*(1+Inputs!$B$46)+Inputs!$B$45</f>
        <v>0</v>
      </c>
      <c r="H16" s="23">
        <f>H15*(1+(Inputs!$B$55-Inputs!$B$57))+Inputs!$B$54</f>
        <v>0</v>
      </c>
      <c r="I16" s="23">
        <f t="shared" ca="1" si="0"/>
        <v>395902.66125147126</v>
      </c>
    </row>
    <row r="17" spans="1:9" x14ac:dyDescent="0.3">
      <c r="A17" s="21">
        <v>12</v>
      </c>
      <c r="B17" s="22">
        <f t="shared" si="1"/>
        <v>2038</v>
      </c>
      <c r="C17" s="22">
        <f t="shared" ca="1" si="2"/>
        <v>56</v>
      </c>
      <c r="D17" s="23">
        <f>D16*(1+Inputs!$B$32)+Inputs!$B$31</f>
        <v>173847.32352201955</v>
      </c>
      <c r="E17" s="23">
        <f ca="1">E16*(1+Inputs!$B$36)+IF(C17&lt;50,Inputs!$B$35*1.25,0)</f>
        <v>72286.748878277067</v>
      </c>
      <c r="F17" s="23">
        <f>F16*(1+Inputs!$B$40)+Inputs!$B$39</f>
        <v>181584.20860749084</v>
      </c>
      <c r="G17" s="23">
        <f>G16*(1+Inputs!$B$46)+Inputs!$B$45</f>
        <v>0</v>
      </c>
      <c r="H17" s="23">
        <f>H16*(1+(Inputs!$B$55-Inputs!$B$57))+Inputs!$B$54</f>
        <v>0</v>
      </c>
      <c r="I17" s="23">
        <f t="shared" ca="1" si="0"/>
        <v>427718.28100778745</v>
      </c>
    </row>
    <row r="18" spans="1:9" x14ac:dyDescent="0.3">
      <c r="A18" s="21">
        <v>13</v>
      </c>
      <c r="B18" s="22">
        <f t="shared" si="1"/>
        <v>2039</v>
      </c>
      <c r="C18" s="22">
        <f t="shared" ca="1" si="2"/>
        <v>57</v>
      </c>
      <c r="D18" s="23">
        <f>D17*(1+Inputs!$B$32)+Inputs!$B$31</f>
        <v>187670.45308051043</v>
      </c>
      <c r="E18" s="23">
        <f ca="1">E17*(1+Inputs!$B$36)+IF(C18&lt;50,Inputs!$B$35*1.25,0)</f>
        <v>75539.652577799527</v>
      </c>
      <c r="F18" s="23">
        <f>F17*(1+Inputs!$B$40)+Inputs!$B$39</f>
        <v>197755.49799482792</v>
      </c>
      <c r="G18" s="23">
        <f>G17*(1+Inputs!$B$46)+Inputs!$B$45</f>
        <v>0</v>
      </c>
      <c r="H18" s="23">
        <f>H17*(1+(Inputs!$B$55-Inputs!$B$57))+Inputs!$B$54</f>
        <v>0</v>
      </c>
      <c r="I18" s="23">
        <f t="shared" ca="1" si="0"/>
        <v>460965.60365313786</v>
      </c>
    </row>
    <row r="19" spans="1:9" x14ac:dyDescent="0.3">
      <c r="A19" s="21">
        <v>14</v>
      </c>
      <c r="B19" s="22">
        <f t="shared" si="1"/>
        <v>2040</v>
      </c>
      <c r="C19" s="22">
        <f t="shared" ca="1" si="2"/>
        <v>58</v>
      </c>
      <c r="D19" s="23">
        <f>D18*(1+Inputs!$B$32)+Inputs!$B$31</f>
        <v>202115.6234691334</v>
      </c>
      <c r="E19" s="23">
        <f ca="1">E18*(1+Inputs!$B$36)+IF(C19&lt;50,Inputs!$B$35*1.25,0)</f>
        <v>78938.936943800494</v>
      </c>
      <c r="F19" s="23">
        <f>F18*(1+Inputs!$B$40)+Inputs!$B$39</f>
        <v>214654.49540459516</v>
      </c>
      <c r="G19" s="23">
        <f>G18*(1+Inputs!$B$46)+Inputs!$B$45</f>
        <v>0</v>
      </c>
      <c r="H19" s="23">
        <f>H18*(1+(Inputs!$B$55-Inputs!$B$57))+Inputs!$B$54</f>
        <v>0</v>
      </c>
      <c r="I19" s="23">
        <f t="shared" ca="1" si="0"/>
        <v>495709.05581752904</v>
      </c>
    </row>
    <row r="20" spans="1:9" x14ac:dyDescent="0.3">
      <c r="A20" s="21">
        <v>15</v>
      </c>
      <c r="B20" s="22">
        <f t="shared" si="1"/>
        <v>2041</v>
      </c>
      <c r="C20" s="22">
        <f t="shared" ca="1" si="2"/>
        <v>59</v>
      </c>
      <c r="D20" s="23">
        <f>D19*(1+Inputs!$B$32)+Inputs!$B$31</f>
        <v>217210.8265252444</v>
      </c>
      <c r="E20" s="23">
        <f ca="1">E19*(1+Inputs!$B$36)+IF(C20&lt;50,Inputs!$B$35*1.25,0)</f>
        <v>82491.189106271515</v>
      </c>
      <c r="F20" s="23">
        <f>F19*(1+Inputs!$B$40)+Inputs!$B$39</f>
        <v>232313.94769780192</v>
      </c>
      <c r="G20" s="23">
        <f>G19*(1+Inputs!$B$46)+Inputs!$B$45</f>
        <v>0</v>
      </c>
      <c r="H20" s="23">
        <f>H19*(1+(Inputs!$B$55-Inputs!$B$57))+Inputs!$B$54</f>
        <v>0</v>
      </c>
      <c r="I20" s="23">
        <f t="shared" ca="1" si="0"/>
        <v>532015.96332931775</v>
      </c>
    </row>
    <row r="21" spans="1:9" x14ac:dyDescent="0.3">
      <c r="A21" s="21">
        <v>16</v>
      </c>
      <c r="B21" s="22">
        <f t="shared" si="1"/>
        <v>2042</v>
      </c>
      <c r="C21" s="22">
        <f t="shared" ca="1" si="2"/>
        <v>60</v>
      </c>
      <c r="D21" s="23">
        <f>D20*(1+Inputs!$B$32)+Inputs!$B$31</f>
        <v>232985.31371888038</v>
      </c>
      <c r="E21" s="23">
        <f ca="1">E20*(1+Inputs!$B$36)+IF(C21&lt;50,Inputs!$B$35*1.25,0)</f>
        <v>86203.292616053732</v>
      </c>
      <c r="F21" s="23">
        <f>F20*(1+Inputs!$B$40)+Inputs!$B$39</f>
        <v>250768.07534420298</v>
      </c>
      <c r="G21" s="23">
        <f>G20*(1+Inputs!$B$46)+Inputs!$B$45</f>
        <v>0</v>
      </c>
      <c r="H21" s="23">
        <f>H20*(1+(Inputs!$B$55-Inputs!$B$57))+Inputs!$B$54</f>
        <v>0</v>
      </c>
      <c r="I21" s="23">
        <f t="shared" ca="1" si="0"/>
        <v>569956.68167913705</v>
      </c>
    </row>
    <row r="22" spans="1:9" x14ac:dyDescent="0.3">
      <c r="A22" s="21">
        <v>17</v>
      </c>
      <c r="B22" s="22">
        <f t="shared" si="1"/>
        <v>2043</v>
      </c>
      <c r="C22" s="22">
        <f t="shared" ca="1" si="2"/>
        <v>61</v>
      </c>
      <c r="D22" s="23">
        <f>D21*(1+Inputs!$B$32)+Inputs!$B$31</f>
        <v>249469.65283622997</v>
      </c>
      <c r="E22" s="23">
        <f ca="1">E21*(1+Inputs!$B$36)+IF(C22&lt;50,Inputs!$B$35*1.25,0)</f>
        <v>90082.440783776139</v>
      </c>
      <c r="F22" s="23">
        <f>F21*(1+Inputs!$B$40)+Inputs!$B$39</f>
        <v>270052.63873469213</v>
      </c>
      <c r="G22" s="23">
        <f>G21*(1+Inputs!$B$46)+Inputs!$B$45</f>
        <v>0</v>
      </c>
      <c r="H22" s="23">
        <f>H21*(1+(Inputs!$B$55-Inputs!$B$57))+Inputs!$B$54</f>
        <v>0</v>
      </c>
      <c r="I22" s="23">
        <f t="shared" ca="1" si="0"/>
        <v>609604.73235469824</v>
      </c>
    </row>
    <row r="23" spans="1:9" x14ac:dyDescent="0.3">
      <c r="A23" s="21">
        <v>18</v>
      </c>
      <c r="B23" s="22">
        <f t="shared" si="1"/>
        <v>2044</v>
      </c>
      <c r="C23" s="22">
        <f t="shared" ca="1" si="2"/>
        <v>62</v>
      </c>
      <c r="D23" s="23">
        <f>D22*(1+Inputs!$B$32)+Inputs!$B$31</f>
        <v>266695.78721386031</v>
      </c>
      <c r="E23" s="23">
        <f ca="1">E22*(1+Inputs!$B$36)+IF(C23&lt;50,Inputs!$B$35*1.25,0)</f>
        <v>94136.150619046064</v>
      </c>
      <c r="F23" s="23">
        <f>F22*(1+Inputs!$B$40)+Inputs!$B$39</f>
        <v>290205.00747775327</v>
      </c>
      <c r="G23" s="23">
        <f>G22*(1+Inputs!$B$46)+Inputs!$B$45</f>
        <v>0</v>
      </c>
      <c r="H23" s="23">
        <f>H22*(1+(Inputs!$B$55-Inputs!$B$57))+Inputs!$B$54</f>
        <v>0</v>
      </c>
      <c r="I23" s="23">
        <f t="shared" ca="1" si="0"/>
        <v>651036.94531065971</v>
      </c>
    </row>
    <row r="24" spans="1:9" x14ac:dyDescent="0.3">
      <c r="A24" s="21">
        <v>19</v>
      </c>
      <c r="B24" s="22">
        <f t="shared" si="1"/>
        <v>2045</v>
      </c>
      <c r="C24" s="22">
        <f t="shared" ca="1" si="2"/>
        <v>63</v>
      </c>
      <c r="D24" s="23">
        <f>D23*(1+Inputs!$B$32)+Inputs!$B$31</f>
        <v>284697.09763848403</v>
      </c>
      <c r="E24" s="23">
        <f ca="1">E23*(1+Inputs!$B$36)+IF(C24&lt;50,Inputs!$B$35*1.25,0)</f>
        <v>98372.277396903126</v>
      </c>
      <c r="F24" s="23">
        <f>F23*(1+Inputs!$B$40)+Inputs!$B$39</f>
        <v>311264.23281425214</v>
      </c>
      <c r="G24" s="23">
        <f>G23*(1+Inputs!$B$46)+Inputs!$B$45</f>
        <v>0</v>
      </c>
      <c r="H24" s="23">
        <f>H23*(1+(Inputs!$B$55-Inputs!$B$57))+Inputs!$B$54</f>
        <v>0</v>
      </c>
      <c r="I24" s="23">
        <f t="shared" ca="1" si="0"/>
        <v>694333.60784963937</v>
      </c>
    </row>
    <row r="25" spans="1:9" x14ac:dyDescent="0.3">
      <c r="A25" s="21">
        <v>20</v>
      </c>
      <c r="B25" s="22">
        <f t="shared" si="1"/>
        <v>2046</v>
      </c>
      <c r="C25" s="22">
        <f t="shared" ca="1" si="2"/>
        <v>64</v>
      </c>
      <c r="D25" s="23">
        <f>D24*(1+Inputs!$B$32)+Inputs!$B$31</f>
        <v>303508.46703221579</v>
      </c>
      <c r="E25" s="23">
        <f ca="1">E24*(1+Inputs!$B$36)+IF(C25&lt;50,Inputs!$B$35*1.25,0)</f>
        <v>102799.02987976377</v>
      </c>
      <c r="F25" s="23">
        <f>F24*(1+Inputs!$B$40)+Inputs!$B$39</f>
        <v>333271.12329089345</v>
      </c>
      <c r="G25" s="23">
        <f>G24*(1+Inputs!$B$46)+Inputs!$B$45</f>
        <v>0</v>
      </c>
      <c r="H25" s="23">
        <f>H24*(1+(Inputs!$B$55-Inputs!$B$57))+Inputs!$B$54</f>
        <v>0</v>
      </c>
      <c r="I25" s="23">
        <f t="shared" ca="1" si="0"/>
        <v>739578.62020287302</v>
      </c>
    </row>
    <row r="26" spans="1:9" x14ac:dyDescent="0.3">
      <c r="A26" s="21">
        <v>21</v>
      </c>
      <c r="B26" s="22">
        <f t="shared" si="1"/>
        <v>2047</v>
      </c>
      <c r="C26" s="22">
        <f t="shared" ca="1" si="2"/>
        <v>65</v>
      </c>
      <c r="D26" s="23">
        <f>D25*(1+Inputs!$B$32)+Inputs!$B$31</f>
        <v>323166.3480486655</v>
      </c>
      <c r="E26" s="23">
        <f ca="1">E25*(1+Inputs!$B$36)+IF(C26&lt;50,Inputs!$B$35*1.25,0)</f>
        <v>107424.98622435312</v>
      </c>
      <c r="F26" s="23">
        <f>F25*(1+Inputs!$B$40)+Inputs!$B$39</f>
        <v>356268.3238389836</v>
      </c>
      <c r="G26" s="23">
        <f>G25*(1+Inputs!$B$46)+Inputs!$B$45</f>
        <v>0</v>
      </c>
      <c r="H26" s="23">
        <f>H25*(1+(Inputs!$B$55-Inputs!$B$57))+Inputs!$B$54</f>
        <v>0</v>
      </c>
      <c r="I26" s="23">
        <f t="shared" ca="1" si="0"/>
        <v>786859.6581120023</v>
      </c>
    </row>
    <row r="27" spans="1:9" x14ac:dyDescent="0.3">
      <c r="A27" s="21">
        <v>22</v>
      </c>
      <c r="B27" s="22">
        <f t="shared" si="1"/>
        <v>2048</v>
      </c>
      <c r="C27" s="22">
        <f t="shared" ca="1" si="2"/>
        <v>66</v>
      </c>
      <c r="D27" s="23">
        <f>D26*(1+Inputs!$B$32)+Inputs!$B$31</f>
        <v>343708.83371085546</v>
      </c>
      <c r="E27" s="23">
        <f ca="1">E26*(1+Inputs!$B$36)+IF(C27&lt;50,Inputs!$B$35*1.25,0)</f>
        <v>112259.110604449</v>
      </c>
      <c r="F27" s="23">
        <f>F26*(1+Inputs!$B$40)+Inputs!$B$39</f>
        <v>380300.39841173781</v>
      </c>
      <c r="G27" s="23">
        <f>G26*(1+Inputs!$B$46)+Inputs!$B$45</f>
        <v>0</v>
      </c>
      <c r="H27" s="23">
        <f>H26*(1+(Inputs!$B$55-Inputs!$B$57))+Inputs!$B$54</f>
        <v>0</v>
      </c>
      <c r="I27" s="23">
        <f t="shared" ca="1" si="0"/>
        <v>836268.34272704227</v>
      </c>
    </row>
    <row r="28" spans="1:9" x14ac:dyDescent="0.3">
      <c r="A28" s="21">
        <v>23</v>
      </c>
      <c r="B28" s="22">
        <f t="shared" si="1"/>
        <v>2049</v>
      </c>
      <c r="C28" s="22">
        <f t="shared" ca="1" si="2"/>
        <v>67</v>
      </c>
      <c r="D28" s="23">
        <f>D27*(1+Inputs!$B$32)+Inputs!$B$31</f>
        <v>365175.73122784391</v>
      </c>
      <c r="E28" s="23">
        <f ca="1">E27*(1+Inputs!$B$36)+IF(C28&lt;50,Inputs!$B$35*1.25,0)</f>
        <v>117310.77058164919</v>
      </c>
      <c r="F28" s="23">
        <f>F27*(1+Inputs!$B$40)+Inputs!$B$39</f>
        <v>405413.91634026601</v>
      </c>
      <c r="G28" s="23">
        <f>G27*(1+Inputs!$B$46)+Inputs!$B$45</f>
        <v>0</v>
      </c>
      <c r="H28" s="23">
        <f>H27*(1+(Inputs!$B$55-Inputs!$B$57))+Inputs!$B$54</f>
        <v>0</v>
      </c>
      <c r="I28" s="23">
        <f t="shared" ca="1" si="0"/>
        <v>887900.41814975906</v>
      </c>
    </row>
    <row r="29" spans="1:9" x14ac:dyDescent="0.3">
      <c r="A29" s="21">
        <v>24</v>
      </c>
      <c r="B29" s="22">
        <f t="shared" si="1"/>
        <v>2050</v>
      </c>
      <c r="C29" s="22">
        <f t="shared" ca="1" si="2"/>
        <v>68</v>
      </c>
      <c r="D29" s="23">
        <f>D28*(1+Inputs!$B$32)+Inputs!$B$31</f>
        <v>387608.63913309685</v>
      </c>
      <c r="E29" s="23">
        <f ca="1">E28*(1+Inputs!$B$36)+IF(C29&lt;50,Inputs!$B$35*1.25,0)</f>
        <v>122589.7552578234</v>
      </c>
      <c r="F29" s="23">
        <f>F28*(1+Inputs!$B$40)+Inputs!$B$39</f>
        <v>431657.54257557797</v>
      </c>
      <c r="G29" s="23">
        <f>G28*(1+Inputs!$B$46)+Inputs!$B$45</f>
        <v>0</v>
      </c>
      <c r="H29" s="23">
        <f>H28*(1+(Inputs!$B$55-Inputs!$B$57))+Inputs!$B$54</f>
        <v>0</v>
      </c>
      <c r="I29" s="23">
        <f t="shared" ca="1" si="0"/>
        <v>941855.93696649815</v>
      </c>
    </row>
    <row r="30" spans="1:9" x14ac:dyDescent="0.3">
      <c r="A30" s="21">
        <v>25</v>
      </c>
      <c r="B30" s="22">
        <f t="shared" si="1"/>
        <v>2051</v>
      </c>
      <c r="C30" s="22">
        <f t="shared" ca="1" si="2"/>
        <v>69</v>
      </c>
      <c r="D30" s="23">
        <f>D29*(1+Inputs!$B$32)+Inputs!$B$31</f>
        <v>411051.0278940862</v>
      </c>
      <c r="E30" s="23">
        <f ca="1">E29*(1+Inputs!$B$36)+IF(C30&lt;50,Inputs!$B$35*1.25,0)</f>
        <v>128106.29424442544</v>
      </c>
      <c r="F30" s="23">
        <f>F29*(1+Inputs!$B$40)+Inputs!$B$39</f>
        <v>459082.13199147896</v>
      </c>
      <c r="G30" s="23">
        <f>G29*(1+Inputs!$B$46)+Inputs!$B$45</f>
        <v>0</v>
      </c>
      <c r="H30" s="23">
        <f>H29*(1+(Inputs!$B$55-Inputs!$B$57))+Inputs!$B$54</f>
        <v>0</v>
      </c>
      <c r="I30" s="23">
        <f t="shared" ca="1" si="0"/>
        <v>998239.45412999066</v>
      </c>
    </row>
    <row r="31" spans="1:9" x14ac:dyDescent="0.3">
      <c r="A31" s="21">
        <v>26</v>
      </c>
      <c r="B31" s="22">
        <f t="shared" si="1"/>
        <v>2052</v>
      </c>
      <c r="C31" s="22">
        <f t="shared" ca="1" si="2"/>
        <v>70</v>
      </c>
      <c r="D31" s="23">
        <f>D30*(1+Inputs!$B$32)+Inputs!$B$31</f>
        <v>435548.32414932008</v>
      </c>
      <c r="E31" s="23">
        <f ca="1">E30*(1+Inputs!$B$36)+IF(C31&lt;50,Inputs!$B$35*1.25,0)</f>
        <v>133871.07748542458</v>
      </c>
      <c r="F31" s="23">
        <f>F30*(1+Inputs!$B$40)+Inputs!$B$39</f>
        <v>487740.8279310955</v>
      </c>
      <c r="G31" s="23">
        <f>G30*(1+Inputs!$B$46)+Inputs!$B$45</f>
        <v>0</v>
      </c>
      <c r="H31" s="23">
        <f>H30*(1+(Inputs!$B$55-Inputs!$B$57))+Inputs!$B$54</f>
        <v>0</v>
      </c>
      <c r="I31" s="23">
        <f t="shared" ca="1" si="0"/>
        <v>1057160.2295658402</v>
      </c>
    </row>
    <row r="32" spans="1:9" x14ac:dyDescent="0.3">
      <c r="A32" s="21">
        <v>27</v>
      </c>
      <c r="B32" s="22">
        <f t="shared" si="1"/>
        <v>2053</v>
      </c>
      <c r="C32" s="22">
        <f t="shared" ca="1" si="2"/>
        <v>71</v>
      </c>
      <c r="D32" s="23">
        <f>D31*(1+Inputs!$B$32)+Inputs!$B$31</f>
        <v>461147.99873603944</v>
      </c>
      <c r="E32" s="23">
        <f ca="1">E31*(1+Inputs!$B$36)+IF(C32&lt;50,Inputs!$B$35*1.25,0)</f>
        <v>139895.27597226869</v>
      </c>
      <c r="F32" s="23">
        <f>F31*(1+Inputs!$B$40)+Inputs!$B$39</f>
        <v>517689.16518799477</v>
      </c>
      <c r="G32" s="23">
        <f>G31*(1+Inputs!$B$46)+Inputs!$B$45</f>
        <v>0</v>
      </c>
      <c r="H32" s="23">
        <f>H31*(1+(Inputs!$B$55-Inputs!$B$57))+Inputs!$B$54</f>
        <v>0</v>
      </c>
      <c r="I32" s="23">
        <f t="shared" ca="1" si="0"/>
        <v>1118732.439896303</v>
      </c>
    </row>
    <row r="33" spans="1:9" x14ac:dyDescent="0.3">
      <c r="A33" s="21">
        <v>28</v>
      </c>
      <c r="B33" s="22">
        <f t="shared" si="1"/>
        <v>2054</v>
      </c>
      <c r="C33" s="22">
        <f t="shared" ca="1" si="2"/>
        <v>72</v>
      </c>
      <c r="D33" s="23">
        <f>D32*(1+Inputs!$B$32)+Inputs!$B$31</f>
        <v>487899.65867916116</v>
      </c>
      <c r="E33" s="23">
        <f ca="1">E32*(1+Inputs!$B$36)+IF(C33&lt;50,Inputs!$B$35*1.25,0)</f>
        <v>146190.56339102078</v>
      </c>
      <c r="F33" s="23">
        <f>F32*(1+Inputs!$B$40)+Inputs!$B$39</f>
        <v>548985.17762145447</v>
      </c>
      <c r="G33" s="23">
        <f>G32*(1+Inputs!$B$46)+Inputs!$B$45</f>
        <v>0</v>
      </c>
      <c r="H33" s="23">
        <f>H32*(1+(Inputs!$B$55-Inputs!$B$57))+Inputs!$B$54</f>
        <v>0</v>
      </c>
      <c r="I33" s="23">
        <f t="shared" ca="1" si="0"/>
        <v>1183075.3996916364</v>
      </c>
    </row>
    <row r="34" spans="1:9" x14ac:dyDescent="0.3">
      <c r="A34" s="21">
        <v>29</v>
      </c>
      <c r="B34" s="22">
        <f t="shared" si="1"/>
        <v>2055</v>
      </c>
      <c r="C34" s="22">
        <f t="shared" ca="1" si="2"/>
        <v>73</v>
      </c>
      <c r="D34" s="23">
        <f>D33*(1+Inputs!$B$32)+Inputs!$B$31</f>
        <v>515855.14331972337</v>
      </c>
      <c r="E34" s="23">
        <f ca="1">E33*(1+Inputs!$B$36)+IF(C34&lt;50,Inputs!$B$35*1.25,0)</f>
        <v>152769.1387436167</v>
      </c>
      <c r="F34" s="23">
        <f>F33*(1+Inputs!$B$40)+Inputs!$B$39</f>
        <v>581689.51061441982</v>
      </c>
      <c r="G34" s="23">
        <f>G33*(1+Inputs!$B$46)+Inputs!$B$45</f>
        <v>0</v>
      </c>
      <c r="H34" s="23">
        <f>H33*(1+(Inputs!$B$55-Inputs!$B$57))+Inputs!$B$54</f>
        <v>0</v>
      </c>
      <c r="I34" s="23">
        <f t="shared" ca="1" si="0"/>
        <v>1250313.7926777599</v>
      </c>
    </row>
    <row r="35" spans="1:9" x14ac:dyDescent="0.3">
      <c r="A35" s="21">
        <v>30</v>
      </c>
      <c r="B35" s="22">
        <f t="shared" si="1"/>
        <v>2056</v>
      </c>
      <c r="C35" s="22">
        <f t="shared" ca="1" si="2"/>
        <v>74</v>
      </c>
      <c r="D35" s="23">
        <f>D34*(1+Inputs!$B$32)+Inputs!$B$31</f>
        <v>545068.62476911093</v>
      </c>
      <c r="E35" s="23">
        <f ca="1">E34*(1+Inputs!$B$36)+IF(C35&lt;50,Inputs!$B$35*1.25,0)</f>
        <v>159643.74998707944</v>
      </c>
      <c r="F35" s="23">
        <f>F34*(1+Inputs!$B$40)+Inputs!$B$39</f>
        <v>615865.53859206871</v>
      </c>
      <c r="G35" s="23">
        <f>G34*(1+Inputs!$B$46)+Inputs!$B$45</f>
        <v>0</v>
      </c>
      <c r="H35" s="23">
        <f>H34*(1+(Inputs!$B$55-Inputs!$B$57))+Inputs!$B$54</f>
        <v>0</v>
      </c>
      <c r="I35" s="23">
        <f t="shared" ca="1" si="0"/>
        <v>1320577.9133482589</v>
      </c>
    </row>
    <row r="36" spans="1:9" x14ac:dyDescent="0.3">
      <c r="A36" s="21">
        <v>31</v>
      </c>
      <c r="B36" s="22">
        <f t="shared" si="1"/>
        <v>2057</v>
      </c>
      <c r="C36" s="22">
        <f t="shared" ca="1" si="2"/>
        <v>75</v>
      </c>
      <c r="D36" s="23">
        <f>D35*(1+Inputs!$B$32)+Inputs!$B$31</f>
        <v>575596.71288372087</v>
      </c>
      <c r="E36" s="23">
        <f ca="1">E35*(1+Inputs!$B$36)+IF(C36&lt;50,Inputs!$B$35*1.25,0)</f>
        <v>166827.71873649801</v>
      </c>
      <c r="F36" s="23">
        <f>F35*(1+Inputs!$B$40)+Inputs!$B$39</f>
        <v>651579.48782871175</v>
      </c>
      <c r="G36" s="23">
        <f>G35*(1+Inputs!$B$46)+Inputs!$B$45</f>
        <v>0</v>
      </c>
      <c r="H36" s="23">
        <f>H35*(1+(Inputs!$B$55-Inputs!$B$57))+Inputs!$B$54</f>
        <v>0</v>
      </c>
      <c r="I36" s="23">
        <f t="shared" ca="1" si="0"/>
        <v>1394003.9194489308</v>
      </c>
    </row>
    <row r="37" spans="1:9" x14ac:dyDescent="0.3">
      <c r="A37" s="21">
        <v>32</v>
      </c>
      <c r="B37" s="22">
        <f t="shared" si="1"/>
        <v>2058</v>
      </c>
      <c r="C37" s="22">
        <f t="shared" ca="1" si="2"/>
        <v>76</v>
      </c>
      <c r="D37" s="23">
        <f>D36*(1+Inputs!$B$32)+Inputs!$B$31</f>
        <v>607498.56496348826</v>
      </c>
      <c r="E37" s="23">
        <f ca="1">E36*(1+Inputs!$B$36)+IF(C37&lt;50,Inputs!$B$35*1.25,0)</f>
        <v>174334.96607964041</v>
      </c>
      <c r="F37" s="23">
        <f>F36*(1+Inputs!$B$40)+Inputs!$B$39</f>
        <v>688900.56478100375</v>
      </c>
      <c r="G37" s="23">
        <f>G36*(1+Inputs!$B$46)+Inputs!$B$45</f>
        <v>0</v>
      </c>
      <c r="H37" s="23">
        <f>H36*(1+(Inputs!$B$55-Inputs!$B$57))+Inputs!$B$54</f>
        <v>0</v>
      </c>
      <c r="I37" s="23">
        <f t="shared" ca="1" si="0"/>
        <v>1470734.0958241324</v>
      </c>
    </row>
    <row r="38" spans="1:9" x14ac:dyDescent="0.3">
      <c r="A38" s="21">
        <v>33</v>
      </c>
      <c r="B38" s="22">
        <f t="shared" si="1"/>
        <v>2059</v>
      </c>
      <c r="C38" s="22">
        <f t="shared" ca="1" si="2"/>
        <v>77</v>
      </c>
      <c r="D38" s="23">
        <f>D37*(1+Inputs!$B$32)+Inputs!$B$31</f>
        <v>640836.0003868452</v>
      </c>
      <c r="E38" s="23">
        <f ca="1">E37*(1+Inputs!$B$36)+IF(C38&lt;50,Inputs!$B$35*1.25,0)</f>
        <v>182180.03955322423</v>
      </c>
      <c r="F38" s="23">
        <f>F37*(1+Inputs!$B$40)+Inputs!$B$39</f>
        <v>727901.09019614884</v>
      </c>
      <c r="G38" s="23">
        <f>G37*(1+Inputs!$B$46)+Inputs!$B$45</f>
        <v>0</v>
      </c>
      <c r="H38" s="23">
        <f>H37*(1+(Inputs!$B$55-Inputs!$B$57))+Inputs!$B$54</f>
        <v>0</v>
      </c>
      <c r="I38" s="23">
        <f t="shared" ca="1" si="0"/>
        <v>1550917.1301362184</v>
      </c>
    </row>
    <row r="39" spans="1:9" x14ac:dyDescent="0.3">
      <c r="A39" s="21">
        <v>34</v>
      </c>
      <c r="B39" s="22">
        <f t="shared" si="1"/>
        <v>2060</v>
      </c>
      <c r="C39" s="22">
        <f t="shared" ca="1" si="2"/>
        <v>78</v>
      </c>
      <c r="D39" s="23">
        <f>D38*(1+Inputs!$B$32)+Inputs!$B$31</f>
        <v>675673.62040425325</v>
      </c>
      <c r="E39" s="23">
        <f ca="1">E38*(1+Inputs!$B$36)+IF(C39&lt;50,Inputs!$B$35*1.25,0)</f>
        <v>190378.1413331193</v>
      </c>
      <c r="F39" s="23">
        <f>F38*(1+Inputs!$B$40)+Inputs!$B$39</f>
        <v>768656.63925497548</v>
      </c>
      <c r="G39" s="23">
        <f>G38*(1+Inputs!$B$46)+Inputs!$B$45</f>
        <v>0</v>
      </c>
      <c r="H39" s="23">
        <f>H38*(1+(Inputs!$B$55-Inputs!$B$57))+Inputs!$B$54</f>
        <v>0</v>
      </c>
      <c r="I39" s="23">
        <f t="shared" ca="1" si="0"/>
        <v>1634708.4009923479</v>
      </c>
    </row>
    <row r="41" spans="1:9" ht="45" customHeight="1" x14ac:dyDescent="0.3">
      <c r="A41" s="39" t="s">
        <v>184</v>
      </c>
      <c r="B41" s="39"/>
      <c r="C41" s="39"/>
      <c r="D41" s="39"/>
      <c r="E41" s="39"/>
      <c r="F41" s="39"/>
      <c r="G41" s="39"/>
      <c r="H41" s="39"/>
      <c r="I41" s="39"/>
    </row>
  </sheetData>
  <mergeCells count="1">
    <mergeCell ref="A41:I4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Views>
    <sheetView showGridLines="0" zoomScaleNormal="100" workbookViewId="0">
      <pane ySplit="5" topLeftCell="A6" activePane="bottomLeft" state="frozen"/>
      <selection pane="bottomLeft"/>
    </sheetView>
  </sheetViews>
  <sheetFormatPr defaultColWidth="8.6640625" defaultRowHeight="14.4" x14ac:dyDescent="0.3"/>
  <cols>
    <col min="1" max="1" width="10" customWidth="1"/>
    <col min="2" max="2" width="12" customWidth="1"/>
    <col min="3" max="3" width="8" customWidth="1"/>
    <col min="4" max="4" width="20" customWidth="1"/>
    <col min="5" max="5" width="18" customWidth="1"/>
    <col min="6" max="6" width="20" customWidth="1"/>
  </cols>
  <sheetData>
    <row r="1" spans="1:6" ht="21.75" customHeight="1" x14ac:dyDescent="0.35">
      <c r="A1" s="5" t="s">
        <v>185</v>
      </c>
      <c r="B1" s="6"/>
      <c r="C1" s="6"/>
      <c r="D1" s="6"/>
      <c r="E1" s="6"/>
      <c r="F1" s="6"/>
    </row>
    <row r="3" spans="1:6" ht="30" customHeight="1" x14ac:dyDescent="0.3">
      <c r="A3" s="2" t="s">
        <v>186</v>
      </c>
    </row>
    <row r="5" spans="1:6" ht="30" customHeight="1" x14ac:dyDescent="0.3">
      <c r="A5" s="20" t="s">
        <v>169</v>
      </c>
      <c r="B5" s="20" t="s">
        <v>164</v>
      </c>
      <c r="C5" s="20" t="s">
        <v>170</v>
      </c>
      <c r="D5" s="20" t="s">
        <v>187</v>
      </c>
      <c r="E5" s="20" t="s">
        <v>188</v>
      </c>
      <c r="F5" s="20" t="s">
        <v>189</v>
      </c>
    </row>
    <row r="6" spans="1:6" x14ac:dyDescent="0.3">
      <c r="A6" s="21">
        <f>'2015 CARE Projection'!A18</f>
        <v>0</v>
      </c>
      <c r="B6" s="22">
        <f>'2015 CARE Projection'!B18</f>
        <v>2026</v>
      </c>
      <c r="C6" s="22">
        <f ca="1">'2015 CARE Projection'!C18</f>
        <v>44</v>
      </c>
      <c r="D6" s="23">
        <f>'2015 CARE Projection'!H18+Inputs!$B$31</f>
        <v>29703.703703703704</v>
      </c>
      <c r="E6" s="23">
        <f>IF(Inputs!$B$86="Yes",MAX(10000,Inputs!$B$85-MAX(0,(Inputs!$B$87-260000)/2)),Inputs!$B$85)</f>
        <v>60000</v>
      </c>
      <c r="F6" s="21" t="str">
        <f t="shared" ref="F6:F40" si="0">IF(D6&lt;=E6,"Yes","Check - over AA")</f>
        <v>Yes</v>
      </c>
    </row>
    <row r="7" spans="1:6" x14ac:dyDescent="0.3">
      <c r="A7" s="21">
        <f>'2015 CARE Projection'!A19</f>
        <v>1</v>
      </c>
      <c r="B7" s="22">
        <f>'2015 CARE Projection'!B19</f>
        <v>2027</v>
      </c>
      <c r="C7" s="22">
        <f ca="1">'2015 CARE Projection'!C19</f>
        <v>45</v>
      </c>
      <c r="D7" s="23">
        <f>'2015 CARE Projection'!H19+Inputs!$B$31</f>
        <v>29940.740740740741</v>
      </c>
      <c r="E7" s="23">
        <f>IF(Inputs!$B$86="Yes",MAX(10000,Inputs!$B$85-MAX(0,(Inputs!$B$87-260000)/2)),Inputs!$B$85)</f>
        <v>60000</v>
      </c>
      <c r="F7" s="21" t="str">
        <f t="shared" si="0"/>
        <v>Yes</v>
      </c>
    </row>
    <row r="8" spans="1:6" x14ac:dyDescent="0.3">
      <c r="A8" s="21">
        <f>'2015 CARE Projection'!A20</f>
        <v>2</v>
      </c>
      <c r="B8" s="22">
        <f>'2015 CARE Projection'!B20</f>
        <v>2028</v>
      </c>
      <c r="C8" s="22">
        <f ca="1">'2015 CARE Projection'!C20</f>
        <v>46</v>
      </c>
      <c r="D8" s="23">
        <f>'2015 CARE Projection'!H20+Inputs!$B$31</f>
        <v>30180.14814814815</v>
      </c>
      <c r="E8" s="23">
        <f>IF(Inputs!$B$86="Yes",MAX(10000,Inputs!$B$85-MAX(0,(Inputs!$B$87-260000)/2)),Inputs!$B$85)</f>
        <v>60000</v>
      </c>
      <c r="F8" s="21" t="str">
        <f t="shared" si="0"/>
        <v>Yes</v>
      </c>
    </row>
    <row r="9" spans="1:6" x14ac:dyDescent="0.3">
      <c r="A9" s="21">
        <f>'2015 CARE Projection'!A21</f>
        <v>3</v>
      </c>
      <c r="B9" s="22">
        <f>'2015 CARE Projection'!B21</f>
        <v>2029</v>
      </c>
      <c r="C9" s="22">
        <f ca="1">'2015 CARE Projection'!C21</f>
        <v>47</v>
      </c>
      <c r="D9" s="23">
        <f>'2015 CARE Projection'!H21+Inputs!$B$31</f>
        <v>30421.949629629631</v>
      </c>
      <c r="E9" s="23">
        <f>IF(Inputs!$B$86="Yes",MAX(10000,Inputs!$B$85-MAX(0,(Inputs!$B$87-260000)/2)),Inputs!$B$85)</f>
        <v>60000</v>
      </c>
      <c r="F9" s="21" t="str">
        <f t="shared" si="0"/>
        <v>Yes</v>
      </c>
    </row>
    <row r="10" spans="1:6" x14ac:dyDescent="0.3">
      <c r="A10" s="21">
        <f>'2015 CARE Projection'!A22</f>
        <v>4</v>
      </c>
      <c r="B10" s="22">
        <f>'2015 CARE Projection'!B22</f>
        <v>2030</v>
      </c>
      <c r="C10" s="22">
        <f ca="1">'2015 CARE Projection'!C22</f>
        <v>48</v>
      </c>
      <c r="D10" s="23">
        <f>'2015 CARE Projection'!H22+Inputs!$B$31</f>
        <v>30666.169125925928</v>
      </c>
      <c r="E10" s="23">
        <f>IF(Inputs!$B$86="Yes",MAX(10000,Inputs!$B$85-MAX(0,(Inputs!$B$87-260000)/2)),Inputs!$B$85)</f>
        <v>60000</v>
      </c>
      <c r="F10" s="21" t="str">
        <f t="shared" si="0"/>
        <v>Yes</v>
      </c>
    </row>
    <row r="11" spans="1:6" x14ac:dyDescent="0.3">
      <c r="A11" s="21">
        <f>'2015 CARE Projection'!A23</f>
        <v>5</v>
      </c>
      <c r="B11" s="22">
        <f>'2015 CARE Projection'!B23</f>
        <v>2031</v>
      </c>
      <c r="C11" s="22">
        <f ca="1">'2015 CARE Projection'!C23</f>
        <v>49</v>
      </c>
      <c r="D11" s="23">
        <f>'2015 CARE Projection'!H23+Inputs!$B$31</f>
        <v>30912.830817185186</v>
      </c>
      <c r="E11" s="23">
        <f>IF(Inputs!$B$86="Yes",MAX(10000,Inputs!$B$85-MAX(0,(Inputs!$B$87-260000)/2)),Inputs!$B$85)</f>
        <v>60000</v>
      </c>
      <c r="F11" s="21" t="str">
        <f t="shared" si="0"/>
        <v>Yes</v>
      </c>
    </row>
    <row r="12" spans="1:6" x14ac:dyDescent="0.3">
      <c r="A12" s="21">
        <f>'2015 CARE Projection'!A24</f>
        <v>6</v>
      </c>
      <c r="B12" s="22">
        <f>'2015 CARE Projection'!B24</f>
        <v>2032</v>
      </c>
      <c r="C12" s="22">
        <f ca="1">'2015 CARE Projection'!C24</f>
        <v>50</v>
      </c>
      <c r="D12" s="23">
        <f>'2015 CARE Projection'!H24+Inputs!$B$31</f>
        <v>31161.959125357036</v>
      </c>
      <c r="E12" s="23">
        <f>IF(Inputs!$B$86="Yes",MAX(10000,Inputs!$B$85-MAX(0,(Inputs!$B$87-260000)/2)),Inputs!$B$85)</f>
        <v>60000</v>
      </c>
      <c r="F12" s="21" t="str">
        <f t="shared" si="0"/>
        <v>Yes</v>
      </c>
    </row>
    <row r="13" spans="1:6" x14ac:dyDescent="0.3">
      <c r="A13" s="21">
        <f>'2015 CARE Projection'!A25</f>
        <v>7</v>
      </c>
      <c r="B13" s="22">
        <f>'2015 CARE Projection'!B25</f>
        <v>2033</v>
      </c>
      <c r="C13" s="22">
        <f ca="1">'2015 CARE Projection'!C25</f>
        <v>51</v>
      </c>
      <c r="D13" s="23">
        <f>'2015 CARE Projection'!H25+Inputs!$B$31</f>
        <v>31413.578716610609</v>
      </c>
      <c r="E13" s="23">
        <f>IF(Inputs!$B$86="Yes",MAX(10000,Inputs!$B$85-MAX(0,(Inputs!$B$87-260000)/2)),Inputs!$B$85)</f>
        <v>60000</v>
      </c>
      <c r="F13" s="21" t="str">
        <f t="shared" si="0"/>
        <v>Yes</v>
      </c>
    </row>
    <row r="14" spans="1:6" x14ac:dyDescent="0.3">
      <c r="A14" s="21">
        <f>'2015 CARE Projection'!A26</f>
        <v>8</v>
      </c>
      <c r="B14" s="22">
        <f>'2015 CARE Projection'!B26</f>
        <v>2034</v>
      </c>
      <c r="C14" s="22">
        <f ca="1">'2015 CARE Projection'!C26</f>
        <v>52</v>
      </c>
      <c r="D14" s="23">
        <f>'2015 CARE Projection'!H26+Inputs!$B$31</f>
        <v>31667.714503776719</v>
      </c>
      <c r="E14" s="23">
        <f>IF(Inputs!$B$86="Yes",MAX(10000,Inputs!$B$85-MAX(0,(Inputs!$B$87-260000)/2)),Inputs!$B$85)</f>
        <v>60000</v>
      </c>
      <c r="F14" s="21" t="str">
        <f t="shared" si="0"/>
        <v>Yes</v>
      </c>
    </row>
    <row r="15" spans="1:6" x14ac:dyDescent="0.3">
      <c r="A15" s="21">
        <f>'2015 CARE Projection'!A27</f>
        <v>9</v>
      </c>
      <c r="B15" s="22">
        <f>'2015 CARE Projection'!B27</f>
        <v>2035</v>
      </c>
      <c r="C15" s="22">
        <f ca="1">'2015 CARE Projection'!C27</f>
        <v>53</v>
      </c>
      <c r="D15" s="23">
        <f>'2015 CARE Projection'!H27+Inputs!$B$31</f>
        <v>31924.391648814482</v>
      </c>
      <c r="E15" s="23">
        <f>IF(Inputs!$B$86="Yes",MAX(10000,Inputs!$B$85-MAX(0,(Inputs!$B$87-260000)/2)),Inputs!$B$85)</f>
        <v>60000</v>
      </c>
      <c r="F15" s="21" t="str">
        <f t="shared" si="0"/>
        <v>Yes</v>
      </c>
    </row>
    <row r="16" spans="1:6" x14ac:dyDescent="0.3">
      <c r="A16" s="21">
        <f>'2015 CARE Projection'!A28</f>
        <v>10</v>
      </c>
      <c r="B16" s="22">
        <f>'2015 CARE Projection'!B28</f>
        <v>2036</v>
      </c>
      <c r="C16" s="22">
        <f ca="1">'2015 CARE Projection'!C28</f>
        <v>54</v>
      </c>
      <c r="D16" s="23">
        <f>'2015 CARE Projection'!H28+Inputs!$B$31</f>
        <v>32183.635565302629</v>
      </c>
      <c r="E16" s="23">
        <f>IF(Inputs!$B$86="Yes",MAX(10000,Inputs!$B$85-MAX(0,(Inputs!$B$87-260000)/2)),Inputs!$B$85)</f>
        <v>60000</v>
      </c>
      <c r="F16" s="21" t="str">
        <f t="shared" si="0"/>
        <v>Yes</v>
      </c>
    </row>
    <row r="17" spans="1:6" x14ac:dyDescent="0.3">
      <c r="A17" s="21">
        <f>'2015 CARE Projection'!A29</f>
        <v>11</v>
      </c>
      <c r="B17" s="22">
        <f>'2015 CARE Projection'!B29</f>
        <v>2037</v>
      </c>
      <c r="C17" s="22">
        <f ca="1">'2015 CARE Projection'!C29</f>
        <v>55</v>
      </c>
      <c r="D17" s="23">
        <f>'2015 CARE Projection'!H29+Inputs!$B$31</f>
        <v>32445.471920955653</v>
      </c>
      <c r="E17" s="23">
        <f>IF(Inputs!$B$86="Yes",MAX(10000,Inputs!$B$85-MAX(0,(Inputs!$B$87-260000)/2)),Inputs!$B$85)</f>
        <v>60000</v>
      </c>
      <c r="F17" s="21" t="str">
        <f t="shared" si="0"/>
        <v>Yes</v>
      </c>
    </row>
    <row r="18" spans="1:6" x14ac:dyDescent="0.3">
      <c r="A18" s="21">
        <f>'2015 CARE Projection'!A30</f>
        <v>12</v>
      </c>
      <c r="B18" s="22">
        <f>'2015 CARE Projection'!B30</f>
        <v>2038</v>
      </c>
      <c r="C18" s="22">
        <f ca="1">'2015 CARE Projection'!C30</f>
        <v>56</v>
      </c>
      <c r="D18" s="23">
        <f>'2015 CARE Projection'!H30+Inputs!$B$31</f>
        <v>32709.926640165209</v>
      </c>
      <c r="E18" s="23">
        <f>IF(Inputs!$B$86="Yes",MAX(10000,Inputs!$B$85-MAX(0,(Inputs!$B$87-260000)/2)),Inputs!$B$85)</f>
        <v>60000</v>
      </c>
      <c r="F18" s="21" t="str">
        <f t="shared" si="0"/>
        <v>Yes</v>
      </c>
    </row>
    <row r="19" spans="1:6" x14ac:dyDescent="0.3">
      <c r="A19" s="21">
        <f>'2015 CARE Projection'!A31</f>
        <v>13</v>
      </c>
      <c r="B19" s="22">
        <f>'2015 CARE Projection'!B31</f>
        <v>2039</v>
      </c>
      <c r="C19" s="22">
        <f ca="1">'2015 CARE Projection'!C31</f>
        <v>57</v>
      </c>
      <c r="D19" s="23">
        <f>'2015 CARE Projection'!H31+Inputs!$B$31</f>
        <v>32977.025906566865</v>
      </c>
      <c r="E19" s="23">
        <f>IF(Inputs!$B$86="Yes",MAX(10000,Inputs!$B$85-MAX(0,(Inputs!$B$87-260000)/2)),Inputs!$B$85)</f>
        <v>60000</v>
      </c>
      <c r="F19" s="21" t="str">
        <f t="shared" si="0"/>
        <v>Yes</v>
      </c>
    </row>
    <row r="20" spans="1:6" x14ac:dyDescent="0.3">
      <c r="A20" s="21">
        <f>'2015 CARE Projection'!A32</f>
        <v>14</v>
      </c>
      <c r="B20" s="22">
        <f>'2015 CARE Projection'!B32</f>
        <v>2040</v>
      </c>
      <c r="C20" s="22">
        <f ca="1">'2015 CARE Projection'!C32</f>
        <v>58</v>
      </c>
      <c r="D20" s="23">
        <f>'2015 CARE Projection'!H32+Inputs!$B$31</f>
        <v>33246.796165632535</v>
      </c>
      <c r="E20" s="23">
        <f>IF(Inputs!$B$86="Yes",MAX(10000,Inputs!$B$85-MAX(0,(Inputs!$B$87-260000)/2)),Inputs!$B$85)</f>
        <v>60000</v>
      </c>
      <c r="F20" s="21" t="str">
        <f t="shared" si="0"/>
        <v>Yes</v>
      </c>
    </row>
    <row r="21" spans="1:6" x14ac:dyDescent="0.3">
      <c r="A21" s="21">
        <f>'2015 CARE Projection'!A33</f>
        <v>15</v>
      </c>
      <c r="B21" s="22">
        <f>'2015 CARE Projection'!B33</f>
        <v>2041</v>
      </c>
      <c r="C21" s="22">
        <f ca="1">'2015 CARE Projection'!C33</f>
        <v>59</v>
      </c>
      <c r="D21" s="23">
        <f>'2015 CARE Projection'!H33+Inputs!$B$31</f>
        <v>33519.264127288858</v>
      </c>
      <c r="E21" s="23">
        <f>IF(Inputs!$B$86="Yes",MAX(10000,Inputs!$B$85-MAX(0,(Inputs!$B$87-260000)/2)),Inputs!$B$85)</f>
        <v>60000</v>
      </c>
      <c r="F21" s="21" t="str">
        <f t="shared" si="0"/>
        <v>Yes</v>
      </c>
    </row>
    <row r="22" spans="1:6" x14ac:dyDescent="0.3">
      <c r="A22" s="21">
        <f>'2015 CARE Projection'!A34</f>
        <v>16</v>
      </c>
      <c r="B22" s="22">
        <f>'2015 CARE Projection'!B34</f>
        <v>2042</v>
      </c>
      <c r="C22" s="22">
        <f ca="1">'2015 CARE Projection'!C34</f>
        <v>60</v>
      </c>
      <c r="D22" s="23">
        <f>'2015 CARE Projection'!H34+Inputs!$B$31</f>
        <v>33794.456768561751</v>
      </c>
      <c r="E22" s="23">
        <f>IF(Inputs!$B$86="Yes",MAX(10000,Inputs!$B$85-MAX(0,(Inputs!$B$87-260000)/2)),Inputs!$B$85)</f>
        <v>60000</v>
      </c>
      <c r="F22" s="21" t="str">
        <f t="shared" si="0"/>
        <v>Yes</v>
      </c>
    </row>
    <row r="23" spans="1:6" x14ac:dyDescent="0.3">
      <c r="A23" s="21">
        <f>'2015 CARE Projection'!A35</f>
        <v>17</v>
      </c>
      <c r="B23" s="22">
        <f>'2015 CARE Projection'!B35</f>
        <v>2043</v>
      </c>
      <c r="C23" s="22">
        <f ca="1">'2015 CARE Projection'!C35</f>
        <v>61</v>
      </c>
      <c r="D23" s="23">
        <f>'2015 CARE Projection'!H35+Inputs!$B$31</f>
        <v>34072.401336247363</v>
      </c>
      <c r="E23" s="23">
        <f>IF(Inputs!$B$86="Yes",MAX(10000,Inputs!$B$85-MAX(0,(Inputs!$B$87-260000)/2)),Inputs!$B$85)</f>
        <v>60000</v>
      </c>
      <c r="F23" s="21" t="str">
        <f t="shared" si="0"/>
        <v>Yes</v>
      </c>
    </row>
    <row r="24" spans="1:6" x14ac:dyDescent="0.3">
      <c r="A24" s="21">
        <f>'2015 CARE Projection'!A36</f>
        <v>18</v>
      </c>
      <c r="B24" s="22">
        <f>'2015 CARE Projection'!B36</f>
        <v>2044</v>
      </c>
      <c r="C24" s="22">
        <f ca="1">'2015 CARE Projection'!C36</f>
        <v>62</v>
      </c>
      <c r="D24" s="23">
        <f>'2015 CARE Projection'!H36+Inputs!$B$31</f>
        <v>34353.125349609836</v>
      </c>
      <c r="E24" s="23">
        <f>IF(Inputs!$B$86="Yes",MAX(10000,Inputs!$B$85-MAX(0,(Inputs!$B$87-260000)/2)),Inputs!$B$85)</f>
        <v>60000</v>
      </c>
      <c r="F24" s="21" t="str">
        <f t="shared" si="0"/>
        <v>Yes</v>
      </c>
    </row>
    <row r="25" spans="1:6" x14ac:dyDescent="0.3">
      <c r="A25" s="21">
        <f>'2015 CARE Projection'!A37</f>
        <v>19</v>
      </c>
      <c r="B25" s="22">
        <f>'2015 CARE Projection'!B37</f>
        <v>2045</v>
      </c>
      <c r="C25" s="22">
        <f ca="1">'2015 CARE Projection'!C37</f>
        <v>63</v>
      </c>
      <c r="D25" s="23">
        <f>'2015 CARE Projection'!H37+Inputs!$B$31</f>
        <v>34636.656603105941</v>
      </c>
      <c r="E25" s="23">
        <f>IF(Inputs!$B$86="Yes",MAX(10000,Inputs!$B$85-MAX(0,(Inputs!$B$87-260000)/2)),Inputs!$B$85)</f>
        <v>60000</v>
      </c>
      <c r="F25" s="21" t="str">
        <f t="shared" si="0"/>
        <v>Yes</v>
      </c>
    </row>
    <row r="26" spans="1:6" x14ac:dyDescent="0.3">
      <c r="A26" s="21">
        <f>'2015 CARE Projection'!A38</f>
        <v>20</v>
      </c>
      <c r="B26" s="22">
        <f>'2015 CARE Projection'!B38</f>
        <v>2046</v>
      </c>
      <c r="C26" s="22">
        <f ca="1">'2015 CARE Projection'!C38</f>
        <v>64</v>
      </c>
      <c r="D26" s="23">
        <f>'2015 CARE Projection'!H38+Inputs!$B$31</f>
        <v>34923.023169136999</v>
      </c>
      <c r="E26" s="23">
        <f>IF(Inputs!$B$86="Yes",MAX(10000,Inputs!$B$85-MAX(0,(Inputs!$B$87-260000)/2)),Inputs!$B$85)</f>
        <v>60000</v>
      </c>
      <c r="F26" s="21" t="str">
        <f t="shared" si="0"/>
        <v>Yes</v>
      </c>
    </row>
    <row r="27" spans="1:6" x14ac:dyDescent="0.3">
      <c r="A27" s="21">
        <f>'2015 CARE Projection'!A39</f>
        <v>21</v>
      </c>
      <c r="B27" s="22">
        <f>'2015 CARE Projection'!B39</f>
        <v>2047</v>
      </c>
      <c r="C27" s="22">
        <f ca="1">'2015 CARE Projection'!C39</f>
        <v>65</v>
      </c>
      <c r="D27" s="23">
        <f>'2015 CARE Projection'!H39+Inputs!$B$31</f>
        <v>35212.253400828369</v>
      </c>
      <c r="E27" s="23">
        <f>IF(Inputs!$B$86="Yes",MAX(10000,Inputs!$B$85-MAX(0,(Inputs!$B$87-260000)/2)),Inputs!$B$85)</f>
        <v>60000</v>
      </c>
      <c r="F27" s="21" t="str">
        <f t="shared" si="0"/>
        <v>Yes</v>
      </c>
    </row>
    <row r="28" spans="1:6" x14ac:dyDescent="0.3">
      <c r="A28" s="21">
        <f>'2015 CARE Projection'!A40</f>
        <v>22</v>
      </c>
      <c r="B28" s="22">
        <f>'2015 CARE Projection'!B40</f>
        <v>2048</v>
      </c>
      <c r="C28" s="22">
        <f ca="1">'2015 CARE Projection'!C40</f>
        <v>66</v>
      </c>
      <c r="D28" s="23">
        <f>'2015 CARE Projection'!H40+Inputs!$B$31</f>
        <v>35504.375934836658</v>
      </c>
      <c r="E28" s="23">
        <f>IF(Inputs!$B$86="Yes",MAX(10000,Inputs!$B$85-MAX(0,(Inputs!$B$87-260000)/2)),Inputs!$B$85)</f>
        <v>60000</v>
      </c>
      <c r="F28" s="21" t="str">
        <f t="shared" si="0"/>
        <v>Yes</v>
      </c>
    </row>
    <row r="29" spans="1:6" x14ac:dyDescent="0.3">
      <c r="A29" s="21">
        <f>'2015 CARE Projection'!A41</f>
        <v>23</v>
      </c>
      <c r="B29" s="22">
        <f>'2015 CARE Projection'!B41</f>
        <v>2049</v>
      </c>
      <c r="C29" s="22">
        <f ca="1">'2015 CARE Projection'!C41</f>
        <v>67</v>
      </c>
      <c r="D29" s="23">
        <f>'2015 CARE Projection'!H41+Inputs!$B$31</f>
        <v>35799.419694185024</v>
      </c>
      <c r="E29" s="23">
        <f>IF(Inputs!$B$86="Yes",MAX(10000,Inputs!$B$85-MAX(0,(Inputs!$B$87-260000)/2)),Inputs!$B$85)</f>
        <v>60000</v>
      </c>
      <c r="F29" s="21" t="str">
        <f t="shared" si="0"/>
        <v>Yes</v>
      </c>
    </row>
    <row r="30" spans="1:6" x14ac:dyDescent="0.3">
      <c r="A30" s="21">
        <f>'2015 CARE Projection'!A42</f>
        <v>24</v>
      </c>
      <c r="B30" s="22">
        <f>'2015 CARE Projection'!B42</f>
        <v>2050</v>
      </c>
      <c r="C30" s="22">
        <f ca="1">'2015 CARE Projection'!C42</f>
        <v>68</v>
      </c>
      <c r="D30" s="23">
        <f>'2015 CARE Projection'!H42+Inputs!$B$31</f>
        <v>36097.413891126867</v>
      </c>
      <c r="E30" s="23">
        <f>IF(Inputs!$B$86="Yes",MAX(10000,Inputs!$B$85-MAX(0,(Inputs!$B$87-260000)/2)),Inputs!$B$85)</f>
        <v>60000</v>
      </c>
      <c r="F30" s="21" t="str">
        <f t="shared" si="0"/>
        <v>Yes</v>
      </c>
    </row>
    <row r="31" spans="1:6" x14ac:dyDescent="0.3">
      <c r="A31" s="21">
        <f>'2015 CARE Projection'!A43</f>
        <v>25</v>
      </c>
      <c r="B31" s="22">
        <f>'2015 CARE Projection'!B43</f>
        <v>2051</v>
      </c>
      <c r="C31" s="22">
        <f ca="1">'2015 CARE Projection'!C43</f>
        <v>69</v>
      </c>
      <c r="D31" s="23">
        <f>'2015 CARE Projection'!H43+Inputs!$B$31</f>
        <v>36398.388030038142</v>
      </c>
      <c r="E31" s="23">
        <f>IF(Inputs!$B$86="Yes",MAX(10000,Inputs!$B$85-MAX(0,(Inputs!$B$87-260000)/2)),Inputs!$B$85)</f>
        <v>60000</v>
      </c>
      <c r="F31" s="21" t="str">
        <f t="shared" si="0"/>
        <v>Yes</v>
      </c>
    </row>
    <row r="32" spans="1:6" x14ac:dyDescent="0.3">
      <c r="A32" s="21">
        <f>'2015 CARE Projection'!A44</f>
        <v>26</v>
      </c>
      <c r="B32" s="22">
        <f>'2015 CARE Projection'!B44</f>
        <v>2052</v>
      </c>
      <c r="C32" s="22">
        <f ca="1">'2015 CARE Projection'!C44</f>
        <v>70</v>
      </c>
      <c r="D32" s="23">
        <f>'2015 CARE Projection'!H44+Inputs!$B$31</f>
        <v>36702.371910338523</v>
      </c>
      <c r="E32" s="23">
        <f>IF(Inputs!$B$86="Yes",MAX(10000,Inputs!$B$85-MAX(0,(Inputs!$B$87-260000)/2)),Inputs!$B$85)</f>
        <v>60000</v>
      </c>
      <c r="F32" s="21" t="str">
        <f t="shared" si="0"/>
        <v>Yes</v>
      </c>
    </row>
    <row r="33" spans="1:6" x14ac:dyDescent="0.3">
      <c r="A33" s="21">
        <f>'2015 CARE Projection'!A45</f>
        <v>27</v>
      </c>
      <c r="B33" s="22">
        <f>'2015 CARE Projection'!B45</f>
        <v>2053</v>
      </c>
      <c r="C33" s="22">
        <f ca="1">'2015 CARE Projection'!C45</f>
        <v>71</v>
      </c>
      <c r="D33" s="23">
        <f>'2015 CARE Projection'!H45+Inputs!$B$31</f>
        <v>37009.395629441904</v>
      </c>
      <c r="E33" s="23">
        <f>IF(Inputs!$B$86="Yes",MAX(10000,Inputs!$B$85-MAX(0,(Inputs!$B$87-260000)/2)),Inputs!$B$85)</f>
        <v>60000</v>
      </c>
      <c r="F33" s="21" t="str">
        <f t="shared" si="0"/>
        <v>Yes</v>
      </c>
    </row>
    <row r="34" spans="1:6" x14ac:dyDescent="0.3">
      <c r="A34" s="21">
        <f>'2015 CARE Projection'!A46</f>
        <v>28</v>
      </c>
      <c r="B34" s="22">
        <f>'2015 CARE Projection'!B46</f>
        <v>2054</v>
      </c>
      <c r="C34" s="22">
        <f ca="1">'2015 CARE Projection'!C46</f>
        <v>72</v>
      </c>
      <c r="D34" s="23">
        <f>'2015 CARE Projection'!H46+Inputs!$B$31</f>
        <v>37319.48958573633</v>
      </c>
      <c r="E34" s="23">
        <f>IF(Inputs!$B$86="Yes",MAX(10000,Inputs!$B$85-MAX(0,(Inputs!$B$87-260000)/2)),Inputs!$B$85)</f>
        <v>60000</v>
      </c>
      <c r="F34" s="21" t="str">
        <f t="shared" si="0"/>
        <v>Yes</v>
      </c>
    </row>
    <row r="35" spans="1:6" x14ac:dyDescent="0.3">
      <c r="A35" s="21">
        <f>'2015 CARE Projection'!A47</f>
        <v>29</v>
      </c>
      <c r="B35" s="22">
        <f>'2015 CARE Projection'!B47</f>
        <v>2055</v>
      </c>
      <c r="C35" s="22">
        <f ca="1">'2015 CARE Projection'!C47</f>
        <v>73</v>
      </c>
      <c r="D35" s="23">
        <f>'2015 CARE Projection'!H47+Inputs!$B$31</f>
        <v>37632.684481593693</v>
      </c>
      <c r="E35" s="23">
        <f>IF(Inputs!$B$86="Yes",MAX(10000,Inputs!$B$85-MAX(0,(Inputs!$B$87-260000)/2)),Inputs!$B$85)</f>
        <v>60000</v>
      </c>
      <c r="F35" s="21" t="str">
        <f t="shared" si="0"/>
        <v>Yes</v>
      </c>
    </row>
    <row r="36" spans="1:6" x14ac:dyDescent="0.3">
      <c r="A36" s="21">
        <f>'2015 CARE Projection'!A48</f>
        <v>30</v>
      </c>
      <c r="B36" s="22">
        <f>'2015 CARE Projection'!B48</f>
        <v>2056</v>
      </c>
      <c r="C36" s="22">
        <f ca="1">'2015 CARE Projection'!C48</f>
        <v>74</v>
      </c>
      <c r="D36" s="23">
        <f>'2015 CARE Projection'!H48+Inputs!$B$31</f>
        <v>37949.011326409629</v>
      </c>
      <c r="E36" s="23">
        <f>IF(Inputs!$B$86="Yes",MAX(10000,Inputs!$B$85-MAX(0,(Inputs!$B$87-260000)/2)),Inputs!$B$85)</f>
        <v>60000</v>
      </c>
      <c r="F36" s="21" t="str">
        <f t="shared" si="0"/>
        <v>Yes</v>
      </c>
    </row>
    <row r="37" spans="1:6" x14ac:dyDescent="0.3">
      <c r="A37" s="21">
        <f>'2015 CARE Projection'!A49</f>
        <v>31</v>
      </c>
      <c r="B37" s="22">
        <f>'2015 CARE Projection'!B49</f>
        <v>2057</v>
      </c>
      <c r="C37" s="22">
        <f ca="1">'2015 CARE Projection'!C49</f>
        <v>75</v>
      </c>
      <c r="D37" s="23">
        <f>'2015 CARE Projection'!H49+Inputs!$B$31</f>
        <v>38268.501439673724</v>
      </c>
      <c r="E37" s="23">
        <f>IF(Inputs!$B$86="Yes",MAX(10000,Inputs!$B$85-MAX(0,(Inputs!$B$87-260000)/2)),Inputs!$B$85)</f>
        <v>60000</v>
      </c>
      <c r="F37" s="21" t="str">
        <f t="shared" si="0"/>
        <v>Yes</v>
      </c>
    </row>
    <row r="38" spans="1:6" x14ac:dyDescent="0.3">
      <c r="A38" s="21">
        <f>'2015 CARE Projection'!A50</f>
        <v>32</v>
      </c>
      <c r="B38" s="22">
        <f>'2015 CARE Projection'!B50</f>
        <v>2058</v>
      </c>
      <c r="C38" s="22">
        <f ca="1">'2015 CARE Projection'!C50</f>
        <v>76</v>
      </c>
      <c r="D38" s="23">
        <f>'2015 CARE Projection'!H50+Inputs!$B$31</f>
        <v>38591.186454070456</v>
      </c>
      <c r="E38" s="23">
        <f>IF(Inputs!$B$86="Yes",MAX(10000,Inputs!$B$85-MAX(0,(Inputs!$B$87-260000)/2)),Inputs!$B$85)</f>
        <v>60000</v>
      </c>
      <c r="F38" s="21" t="str">
        <f t="shared" si="0"/>
        <v>Yes</v>
      </c>
    </row>
    <row r="39" spans="1:6" x14ac:dyDescent="0.3">
      <c r="A39" s="21">
        <f>'2015 CARE Projection'!A51</f>
        <v>33</v>
      </c>
      <c r="B39" s="22">
        <f>'2015 CARE Projection'!B51</f>
        <v>2059</v>
      </c>
      <c r="C39" s="22">
        <f ca="1">'2015 CARE Projection'!C51</f>
        <v>77</v>
      </c>
      <c r="D39" s="23">
        <f>'2015 CARE Projection'!H51+Inputs!$B$31</f>
        <v>38917.098318611163</v>
      </c>
      <c r="E39" s="23">
        <f>IF(Inputs!$B$86="Yes",MAX(10000,Inputs!$B$85-MAX(0,(Inputs!$B$87-260000)/2)),Inputs!$B$85)</f>
        <v>60000</v>
      </c>
      <c r="F39" s="21" t="str">
        <f t="shared" si="0"/>
        <v>Yes</v>
      </c>
    </row>
    <row r="40" spans="1:6" x14ac:dyDescent="0.3">
      <c r="A40" s="21">
        <f>'2015 CARE Projection'!A52</f>
        <v>34</v>
      </c>
      <c r="B40" s="22">
        <f>'2015 CARE Projection'!B52</f>
        <v>2060</v>
      </c>
      <c r="C40" s="22">
        <f ca="1">'2015 CARE Projection'!C52</f>
        <v>78</v>
      </c>
      <c r="D40" s="23">
        <f>'2015 CARE Projection'!H52+Inputs!$B$31</f>
        <v>39246.269301797278</v>
      </c>
      <c r="E40" s="23">
        <f>IF(Inputs!$B$86="Yes",MAX(10000,Inputs!$B$85-MAX(0,(Inputs!$B$87-260000)/2)),Inputs!$B$85)</f>
        <v>60000</v>
      </c>
      <c r="F40" s="21" t="str">
        <f t="shared" si="0"/>
        <v>Yes</v>
      </c>
    </row>
    <row r="42" spans="1:6" ht="22.35" customHeight="1" x14ac:dyDescent="0.3">
      <c r="A42" s="39" t="s">
        <v>190</v>
      </c>
      <c r="B42" s="39"/>
      <c r="C42" s="39"/>
      <c r="D42" s="39"/>
      <c r="E42" s="39"/>
      <c r="F42" s="39"/>
    </row>
  </sheetData>
  <mergeCells count="1">
    <mergeCell ref="A42:F4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showGridLines="0" zoomScaleNormal="100" workbookViewId="0">
      <selection activeCell="A23" sqref="A23:E23"/>
    </sheetView>
  </sheetViews>
  <sheetFormatPr defaultColWidth="8.6640625" defaultRowHeight="14.4" x14ac:dyDescent="0.3"/>
  <cols>
    <col min="1" max="1" width="38" customWidth="1"/>
    <col min="2" max="4" width="22" customWidth="1"/>
  </cols>
  <sheetData>
    <row r="1" spans="1:5" ht="21.75" customHeight="1" x14ac:dyDescent="0.35">
      <c r="A1" s="5" t="s">
        <v>191</v>
      </c>
      <c r="B1" s="6"/>
      <c r="C1" s="6"/>
      <c r="D1" s="6"/>
    </row>
    <row r="3" spans="1:5" ht="30" customHeight="1" x14ac:dyDescent="0.3">
      <c r="A3" s="24" t="s">
        <v>192</v>
      </c>
    </row>
    <row r="5" spans="1:5" x14ac:dyDescent="0.3">
      <c r="A5" s="6"/>
      <c r="B5" s="25" t="str">
        <f>"Scenario A: Age "&amp;Inputs!$B$94</f>
        <v>Scenario A: Age 57</v>
      </c>
      <c r="C5" s="25" t="str">
        <f>"Scenario B: Age "&amp;Inputs!$B$97</f>
        <v>Scenario B: Age 60</v>
      </c>
      <c r="D5" s="25" t="str">
        <f>"Scenario C: Age "&amp;Inputs!$B$100</f>
        <v>Scenario C: Age 67</v>
      </c>
    </row>
    <row r="6" spans="1:5" x14ac:dyDescent="0.3">
      <c r="A6" s="21" t="s">
        <v>193</v>
      </c>
      <c r="B6" s="22">
        <f>MAX(0,Inputs!$B$95-Inputs!$B$94)</f>
        <v>0</v>
      </c>
      <c r="C6" s="22">
        <f>MAX(0,Inputs!$B$98-Inputs!$B$97)</f>
        <v>8</v>
      </c>
      <c r="D6" s="22">
        <f>MAX(0,Inputs!$B$101-Inputs!$B$100)</f>
        <v>0</v>
      </c>
      <c r="E6" s="10" t="s">
        <v>194</v>
      </c>
    </row>
    <row r="7" spans="1:5" x14ac:dyDescent="0.3">
      <c r="A7" s="21" t="s">
        <v>195</v>
      </c>
      <c r="B7" s="23">
        <f ca="1">(IFERROR(INDEX('2015 CARE Projection'!G18:G52,MATCH(Inputs!$B$94,'2015 CARE Projection'!C18:C52,0)),"n/a"))+Inputs!$B$43</f>
        <v>48708.709380462344</v>
      </c>
      <c r="C7" s="23">
        <f ca="1">(IFERROR(INDEX('2015 CARE Projection'!G18:G52,MATCH(Inputs!$B$97,'2015 CARE Projection'!C18:C52,0)),"n/a"))+Inputs!$B$43</f>
        <v>56170.946600652765</v>
      </c>
      <c r="D7" s="23">
        <f ca="1">(IFERROR(INDEX('2015 CARE Projection'!G18:G52,MATCH(Inputs!$B$100,'2015 CARE Projection'!C18:C52,0)),"n/a"))+Inputs!$B$43</f>
        <v>75573.513398167095</v>
      </c>
      <c r="E7" s="10" t="s">
        <v>397</v>
      </c>
    </row>
    <row r="8" spans="1:5" x14ac:dyDescent="0.3">
      <c r="A8" s="21" t="s">
        <v>196</v>
      </c>
      <c r="B8" s="26">
        <f>MAX(0,1-MAX(0,(Inputs!$B$7-Inputs!$B$95)-Inputs!$B$49)*Inputs!$B$50)</f>
        <v>0.44999999999999996</v>
      </c>
      <c r="C8" s="26">
        <f>MAX(0,1-MAX(0,(Inputs!$B$7-Inputs!$B$98)-Inputs!$B$49)*Inputs!$B$50)</f>
        <v>1</v>
      </c>
      <c r="D8" s="26">
        <f>MAX(0,1-MAX(0,(Inputs!$B$7-Inputs!$B$101)-Inputs!$B$49)*Inputs!$B$50)</f>
        <v>0.95</v>
      </c>
      <c r="E8" s="10" t="s">
        <v>197</v>
      </c>
    </row>
    <row r="9" spans="1:5" x14ac:dyDescent="0.3">
      <c r="A9" s="21" t="s">
        <v>198</v>
      </c>
      <c r="B9" s="23">
        <f ca="1">B7*B8</f>
        <v>21918.919221208052</v>
      </c>
      <c r="C9" s="23">
        <f ca="1">C7*C8</f>
        <v>56170.946600652765</v>
      </c>
      <c r="D9" s="23">
        <f ca="1">D7*D8</f>
        <v>71794.837728258732</v>
      </c>
    </row>
    <row r="10" spans="1:5" ht="45" customHeight="1" x14ac:dyDescent="0.3">
      <c r="A10" s="21" t="s">
        <v>199</v>
      </c>
      <c r="B10" s="23">
        <f ca="1">(IF(Inputs!$B$95&gt;=60,'Legacy Scheme'!B6,0)+IF(Inputs!$B$95&gt;=65,'Legacy Scheme'!B10,0))*(IF(Inputs!$B$18="Yes",(1+Inputs!$B$19)^(Inputs!$B$95-Inputs!$B$5),1))</f>
        <v>0</v>
      </c>
      <c r="C10" s="23">
        <f ca="1">(IF(Inputs!$B$98&gt;=60,'Legacy Scheme'!B6,0)+IF(Inputs!$B$98&gt;=65,'Legacy Scheme'!B10,0))*(IF(Inputs!$B$18="Yes",(1+Inputs!$B$19)^(Inputs!$B$98-Inputs!$B$5),1))</f>
        <v>0</v>
      </c>
      <c r="D10" s="23">
        <f ca="1">(IF(Inputs!$B$101&gt;=60,'Legacy Scheme'!B6,0)+IF(Inputs!$B$101&gt;=65,'Legacy Scheme'!B10,0))*(IF(Inputs!$B$18="Yes",(1+Inputs!$B$19)^(Inputs!$B$101-Inputs!$B$5),1))</f>
        <v>0</v>
      </c>
      <c r="E10" s="13" t="s">
        <v>200</v>
      </c>
    </row>
    <row r="11" spans="1:5" x14ac:dyDescent="0.3">
      <c r="A11" s="21" t="s">
        <v>201</v>
      </c>
      <c r="B11" s="23">
        <f ca="1">(IF(Inputs!$B$95&gt;=60,'Legacy Scheme'!B7,0)+IF(Inputs!$B$95&gt;=65,'Legacy Scheme'!B11,0))*(IF(Inputs!$B$18="Yes",(1+Inputs!$B$19)^(Inputs!$B$95-Inputs!$B$5),1))</f>
        <v>0</v>
      </c>
      <c r="C11" s="23">
        <f ca="1">(IF(Inputs!$B$98&gt;=60,'Legacy Scheme'!B7,0)+IF(Inputs!$B$98&gt;=65,'Legacy Scheme'!B11,0))*(IF(Inputs!$B$18="Yes",(1+Inputs!$B$19)^(Inputs!$B$98-Inputs!$B$5),1))</f>
        <v>0</v>
      </c>
      <c r="D11" s="23">
        <f ca="1">(IF(Inputs!$B$101&gt;=60,'Legacy Scheme'!B7,0)+IF(Inputs!$B$101&gt;=65,'Legacy Scheme'!B11,0))*(IF(Inputs!$B$18="Yes",(1+Inputs!$B$19)^(Inputs!$B$101-Inputs!$B$5),1))</f>
        <v>0</v>
      </c>
    </row>
    <row r="12" spans="1:5" x14ac:dyDescent="0.3">
      <c r="A12" s="21" t="s">
        <v>202</v>
      </c>
      <c r="B12" s="23">
        <f>IF(Inputs!$B$95&gt;=Inputs!$B$7,Inputs!$B$8,0)</f>
        <v>0</v>
      </c>
      <c r="C12" s="23">
        <f>IF(Inputs!$B$98&gt;=Inputs!$B$7,Inputs!$B$8,0)</f>
        <v>12547.6</v>
      </c>
      <c r="D12" s="23">
        <f>IF(Inputs!$B$101&gt;=Inputs!$B$7,Inputs!$B$8,0)</f>
        <v>0</v>
      </c>
    </row>
    <row r="13" spans="1:5" x14ac:dyDescent="0.3">
      <c r="A13" s="21" t="s">
        <v>203</v>
      </c>
      <c r="B13" s="23">
        <f ca="1">IFERROR(INDEX('Private Pensions Projection'!I5:I39,MATCH(Inputs!$B$94,'Private Pensions Projection'!C5:C39,0)),"n/a")</f>
        <v>460965.60365313786</v>
      </c>
      <c r="C13" s="23">
        <f ca="1">IFERROR(INDEX('Private Pensions Projection'!I5:I39,MATCH(Inputs!$B$97,'Private Pensions Projection'!C5:C39,0)),"n/a")</f>
        <v>569956.68167913705</v>
      </c>
      <c r="D13" s="23">
        <f ca="1">IFERROR(INDEX('Private Pensions Projection'!I5:I39,MATCH(Inputs!$B$100,'Private Pensions Projection'!C5:C39,0)),"n/a")</f>
        <v>887900.41814975906</v>
      </c>
    </row>
    <row r="14" spans="1:5" ht="45" customHeight="1" x14ac:dyDescent="0.3">
      <c r="A14" s="21" t="s">
        <v>204</v>
      </c>
      <c r="B14" s="23">
        <f>IF(B6&gt;0,B13/B6,0)</f>
        <v>0</v>
      </c>
      <c r="C14" s="23">
        <f ca="1">IF(C6&gt;0,C13/C6,0)</f>
        <v>71244.585209892131</v>
      </c>
      <c r="D14" s="23">
        <f>IF(D6&gt;0,D13/D6,0)</f>
        <v>0</v>
      </c>
      <c r="E14" s="13" t="s">
        <v>205</v>
      </c>
    </row>
    <row r="15" spans="1:5" x14ac:dyDescent="0.3">
      <c r="A15" s="21" t="s">
        <v>206</v>
      </c>
      <c r="B15" s="23">
        <f ca="1">IF(B6&gt;0,0,B13)</f>
        <v>460965.60365313786</v>
      </c>
      <c r="C15" s="23">
        <f>IF(C6&gt;0,0,C13)</f>
        <v>0</v>
      </c>
      <c r="D15" s="23">
        <f ca="1">IF(D6&gt;0,0,D13)</f>
        <v>887900.41814975906</v>
      </c>
      <c r="E15" s="10" t="s">
        <v>207</v>
      </c>
    </row>
    <row r="16" spans="1:5" ht="45" customHeight="1" x14ac:dyDescent="0.3">
      <c r="A16" s="21" t="s">
        <v>208</v>
      </c>
      <c r="B16" s="23">
        <f ca="1">IF(Inputs!$B$90="4% Safe Withdrawal (perpetual)",B15*0.04,IF(Inputs!$B$95&gt;=Inputs!$B$7,B15*0.04,B15/MAX(1,Inputs!$B$7-Inputs!$B$95)))</f>
        <v>18438.624146125516</v>
      </c>
      <c r="C16" s="23">
        <f>IF(Inputs!$B$90="4% Safe Withdrawal (perpetual)",C15*0.04,IF(Inputs!$B$98&gt;=Inputs!$B$7,C15*0.04,C15/MAX(1,Inputs!$B$7-Inputs!$B$98)))</f>
        <v>0</v>
      </c>
      <c r="D16" s="23">
        <f ca="1">IF(Inputs!$B$90="4% Safe Withdrawal (perpetual)",D15*0.04,IF(Inputs!$B$101&gt;=Inputs!$B$7,D15*0.04,D15/MAX(1,Inputs!$B$7-Inputs!$B$101)))</f>
        <v>35516.016725990361</v>
      </c>
      <c r="E16" s="13" t="s">
        <v>209</v>
      </c>
    </row>
    <row r="17" spans="1:5" ht="30" customHeight="1" x14ac:dyDescent="0.3">
      <c r="A17" s="21" t="s">
        <v>210</v>
      </c>
      <c r="B17" s="23">
        <f>(IF(Inputs!$B$63="Defined Benefit",IF(Inputs!$B$95&gt;=Inputs!$B$65,Inputs!$B$64,0),0)+IF(Inputs!$B$63="Defined Contribution",IF(Inputs!$B$95&gt;=Inputs!$B$68,(Inputs!$B$66*(1+Inputs!$B$67)^(Inputs!$B$95-Inputs!$B$5))*(IF(Inputs!$B$90="4% Safe Withdrawal (perpetual)",0.04,IF(Inputs!$B$95&gt;=Inputs!$B$7,0.04,1/MAX(1,Inputs!$B$7-Inputs!$B$95)))),0),0))+(IF(Inputs!$B$70="Defined Benefit",IF(Inputs!$B$95&gt;=Inputs!$B$72,Inputs!$B$71,0),0)+IF(Inputs!$B$70="Defined Contribution",IF(Inputs!$B$95&gt;=Inputs!$B$75,(Inputs!$B$73*(1+Inputs!$B$74)^(Inputs!$B$95-Inputs!$B$5))*(IF(Inputs!$B$90="4% Safe Withdrawal (perpetual)",0.04,IF(Inputs!$B$95&gt;=Inputs!$B$7,0.04,1/MAX(1,Inputs!$B$7-Inputs!$B$95)))),0),0))+(IF(Inputs!$B$77="Defined Benefit",IF(Inputs!$B$95&gt;=Inputs!$B$79,Inputs!$B$78,0),0)+IF(Inputs!$B$77="Defined Contribution",IF(Inputs!$B$95&gt;=Inputs!$B$82,(Inputs!$B$80*(1+Inputs!$B$81)^(Inputs!$B$95-Inputs!$B$5))*(IF(Inputs!$B$90="4% Safe Withdrawal (perpetual)",0.04,IF(Inputs!$B$95&gt;=Inputs!$B$7,0.04,1/MAX(1,Inputs!$B$7-Inputs!$B$95)))),0),0))</f>
        <v>0</v>
      </c>
      <c r="C17" s="23">
        <f>(IF(Inputs!$B$63="Defined Benefit",IF(Inputs!$B$98&gt;=Inputs!$B$65,Inputs!$B$64,0),0)+IF(Inputs!$B$63="Defined Contribution",IF(Inputs!$B$98&gt;=Inputs!$B$68,(Inputs!$B$66*(1+Inputs!$B$67)^(Inputs!$B$98-Inputs!$B$5))*(IF(Inputs!$B$90="4% Safe Withdrawal (perpetual)",0.04,IF(Inputs!$B$98&gt;=Inputs!$B$7,0.04,1/MAX(1,Inputs!$B$7-Inputs!$B$98)))),0),0))+(IF(Inputs!$B$70="Defined Benefit",IF(Inputs!$B$98&gt;=Inputs!$B$72,Inputs!$B$71,0),0)+IF(Inputs!$B$70="Defined Contribution",IF(Inputs!$B$98&gt;=Inputs!$B$75,(Inputs!$B$73*(1+Inputs!$B$74)^(Inputs!$B$98-Inputs!$B$5))*(IF(Inputs!$B$90="4% Safe Withdrawal (perpetual)",0.04,IF(Inputs!$B$98&gt;=Inputs!$B$7,0.04,1/MAX(1,Inputs!$B$7-Inputs!$B$98)))),0),0))+(IF(Inputs!$B$77="Defined Benefit",IF(Inputs!$B$98&gt;=Inputs!$B$79,Inputs!$B$78,0),0)+IF(Inputs!$B$77="Defined Contribution",IF(Inputs!$B$98&gt;=Inputs!$B$82,(Inputs!$B$80*(1+Inputs!$B$81)^(Inputs!$B$98-Inputs!$B$5))*(IF(Inputs!$B$90="4% Safe Withdrawal (perpetual)",0.04,IF(Inputs!$B$98&gt;=Inputs!$B$7,0.04,1/MAX(1,Inputs!$B$7-Inputs!$B$98)))),0),0))</f>
        <v>0</v>
      </c>
      <c r="D17" s="23">
        <f>(IF(Inputs!$B$63="Defined Benefit",IF(Inputs!$B$101&gt;=Inputs!$B$65,Inputs!$B$64,0),0)+IF(Inputs!$B$63="Defined Contribution",IF(Inputs!$B$101&gt;=Inputs!$B$68,(Inputs!$B$66*(1+Inputs!$B$67)^(Inputs!$B$101-Inputs!$B$5))*(IF(Inputs!$B$90="4% Safe Withdrawal (perpetual)",0.04,IF(Inputs!$B$101&gt;=Inputs!$B$7,0.04,1/MAX(1,Inputs!$B$7-Inputs!$B$101)))),0),0))+(IF(Inputs!$B$70="Defined Benefit",IF(Inputs!$B$101&gt;=Inputs!$B$72,Inputs!$B$71,0),0)+IF(Inputs!$B$70="Defined Contribution",IF(Inputs!$B$101&gt;=Inputs!$B$75,(Inputs!$B$73*(1+Inputs!$B$74)^(Inputs!$B$101-Inputs!$B$5))*(IF(Inputs!$B$90="4% Safe Withdrawal (perpetual)",0.04,IF(Inputs!$B$101&gt;=Inputs!$B$7,0.04,1/MAX(1,Inputs!$B$7-Inputs!$B$101)))),0),0))+(IF(Inputs!$B$77="Defined Benefit",IF(Inputs!$B$101&gt;=Inputs!$B$79,Inputs!$B$78,0),0)+IF(Inputs!$B$77="Defined Contribution",IF(Inputs!$B$101&gt;=Inputs!$B$82,(Inputs!$B$80*(1+Inputs!$B$81)^(Inputs!$B$101-Inputs!$B$5))*(IF(Inputs!$B$90="4% Safe Withdrawal (perpetual)",0.04,IF(Inputs!$B$101&gt;=Inputs!$B$7,0.04,1/MAX(1,Inputs!$B$7-Inputs!$B$101)))),0),0))</f>
        <v>0</v>
      </c>
      <c r="E17" s="13" t="s">
        <v>211</v>
      </c>
    </row>
    <row r="18" spans="1:5" x14ac:dyDescent="0.3">
      <c r="A18" s="27"/>
      <c r="B18" s="27"/>
      <c r="C18" s="27"/>
      <c r="D18" s="27"/>
    </row>
    <row r="19" spans="1:5" x14ac:dyDescent="0.3">
      <c r="A19" s="28" t="s">
        <v>212</v>
      </c>
      <c r="B19" s="29">
        <f ca="1">B9+B10+B12+B16+B17</f>
        <v>40357.543367333565</v>
      </c>
      <c r="C19" s="29">
        <f ca="1">C9+C10+C12+C16+C17</f>
        <v>68718.546600652771</v>
      </c>
      <c r="D19" s="29">
        <f ca="1">D9+D10+D12+D16+D17</f>
        <v>107310.85445424909</v>
      </c>
    </row>
    <row r="20" spans="1:5" x14ac:dyDescent="0.3">
      <c r="A20" s="28" t="s">
        <v>213</v>
      </c>
      <c r="B20" s="29">
        <f>B14</f>
        <v>0</v>
      </c>
      <c r="C20" s="29">
        <f ca="1">C14</f>
        <v>71244.585209892131</v>
      </c>
      <c r="D20" s="29">
        <f>D14</f>
        <v>0</v>
      </c>
      <c r="E20" s="10" t="s">
        <v>214</v>
      </c>
    </row>
    <row r="21" spans="1:5" x14ac:dyDescent="0.3">
      <c r="A21" s="30" t="s">
        <v>215</v>
      </c>
      <c r="B21" s="31">
        <f ca="1">B11</f>
        <v>0</v>
      </c>
      <c r="C21" s="31">
        <f ca="1">C11</f>
        <v>0</v>
      </c>
      <c r="D21" s="31">
        <f ca="1">D11</f>
        <v>0</v>
      </c>
    </row>
    <row r="23" spans="1:5" x14ac:dyDescent="0.3">
      <c r="A23" s="28" t="s">
        <v>395</v>
      </c>
      <c r="B23" s="29">
        <f ca="1">IF(Inputs!$B$95&gt;=Inputs!$B$7,B19,B19+Inputs!$B$8)</f>
        <v>52905.143367333563</v>
      </c>
      <c r="C23" s="29">
        <f ca="1">IF(Inputs!$B$98&gt;=Inputs!$B$7,C19,C19+Inputs!$B$8)</f>
        <v>68718.546600652771</v>
      </c>
      <c r="D23" s="29">
        <f ca="1">IF(Inputs!$B$101&gt;=Inputs!$B$7,D19,D19+Inputs!$B$8)</f>
        <v>119858.45445424909</v>
      </c>
      <c r="E23" t="s">
        <v>396</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showGridLines="0" zoomScaleNormal="100" workbookViewId="0"/>
  </sheetViews>
  <sheetFormatPr defaultColWidth="8.6640625" defaultRowHeight="14.4" x14ac:dyDescent="0.3"/>
  <cols>
    <col min="1" max="1" width="48" customWidth="1"/>
    <col min="2" max="4" width="20" customWidth="1"/>
    <col min="5" max="5" width="55" customWidth="1"/>
  </cols>
  <sheetData>
    <row r="1" spans="1:5" ht="21.75" customHeight="1" x14ac:dyDescent="0.35">
      <c r="A1" s="5" t="s">
        <v>216</v>
      </c>
      <c r="B1" s="6"/>
      <c r="C1" s="6"/>
      <c r="D1" s="6"/>
      <c r="E1" s="6"/>
    </row>
    <row r="3" spans="1:5" ht="45" customHeight="1" x14ac:dyDescent="0.3">
      <c r="A3" s="40" t="s">
        <v>217</v>
      </c>
      <c r="B3" s="40"/>
      <c r="C3" s="40"/>
      <c r="D3" s="40"/>
      <c r="E3" s="40"/>
    </row>
    <row r="5" spans="1:5" x14ac:dyDescent="0.3">
      <c r="A5" s="21" t="s">
        <v>218</v>
      </c>
      <c r="B5" s="22">
        <f>Inputs!$B$105</f>
        <v>60</v>
      </c>
      <c r="C5" s="27"/>
      <c r="D5" s="27"/>
    </row>
    <row r="6" spans="1:5" x14ac:dyDescent="0.3">
      <c r="A6" s="21" t="s">
        <v>219</v>
      </c>
      <c r="B6" s="23">
        <f>Inputs!$B$104</f>
        <v>50000</v>
      </c>
      <c r="C6" s="27"/>
      <c r="D6" s="27"/>
    </row>
    <row r="7" spans="1:5" x14ac:dyDescent="0.3">
      <c r="A7" s="27"/>
      <c r="B7" s="27"/>
      <c r="C7" s="27"/>
      <c r="D7" s="27"/>
    </row>
    <row r="8" spans="1:5" x14ac:dyDescent="0.3">
      <c r="A8" s="28" t="s">
        <v>220</v>
      </c>
      <c r="B8" s="32"/>
      <c r="C8" s="27"/>
      <c r="D8" s="27"/>
    </row>
    <row r="9" spans="1:5" x14ac:dyDescent="0.3">
      <c r="A9" s="21" t="s">
        <v>221</v>
      </c>
      <c r="B9" s="23">
        <f ca="1">(IF(Inputs!$B$105&gt;=60,'Legacy Scheme'!B6,0)+IF(Inputs!$B$105&gt;=65,'Legacy Scheme'!B10,0))*(IF(Inputs!$B$18="Yes",(1+Inputs!$B$19)^(Inputs!$B$105-Inputs!$B$5),1))</f>
        <v>0</v>
      </c>
      <c r="C9" s="27"/>
      <c r="D9" s="27"/>
    </row>
    <row r="10" spans="1:5" x14ac:dyDescent="0.3">
      <c r="A10" s="21" t="s">
        <v>222</v>
      </c>
      <c r="B10" s="23">
        <f ca="1">IFERROR(INDEX('2015 CARE Projection'!G18:G52,MATCH(Inputs!$B$105,'2015 CARE Projection'!C18:C52,0)),"n/a")+Inputs!$B$43</f>
        <v>56170.946600652765</v>
      </c>
      <c r="C10" s="27"/>
      <c r="D10" s="27"/>
    </row>
    <row r="11" spans="1:5" ht="36.6" x14ac:dyDescent="0.3">
      <c r="A11" s="21" t="s">
        <v>223</v>
      </c>
      <c r="B11" s="26">
        <f>MAX(0,1-MAX(0,(Inputs!$B$7-Inputs!$B$105)-Inputs!$B$49)*Inputs!$B$50)</f>
        <v>0.6</v>
      </c>
      <c r="C11" s="27"/>
      <c r="D11" s="27"/>
      <c r="E11" s="13" t="s">
        <v>224</v>
      </c>
    </row>
    <row r="12" spans="1:5" x14ac:dyDescent="0.3">
      <c r="A12" s="21" t="s">
        <v>225</v>
      </c>
      <c r="B12" s="23">
        <f ca="1">B10*B11</f>
        <v>33702.567960391658</v>
      </c>
      <c r="C12" s="27"/>
      <c r="D12" s="27"/>
    </row>
    <row r="13" spans="1:5" x14ac:dyDescent="0.3">
      <c r="A13" s="21" t="s">
        <v>226</v>
      </c>
      <c r="B13" s="23">
        <f>IF(Inputs!$B$105&gt;=Inputs!$B$7,Inputs!$B$8,0)</f>
        <v>0</v>
      </c>
      <c r="C13" s="27"/>
      <c r="D13" s="27"/>
    </row>
    <row r="14" spans="1:5" x14ac:dyDescent="0.3">
      <c r="A14" s="21" t="s">
        <v>227</v>
      </c>
      <c r="B14" s="23">
        <f>(IF(Inputs!$B$63="Defined Benefit",IF(Inputs!$B$105&gt;=Inputs!$B$65,Inputs!$B$64,0),0)+IF(Inputs!$B$63="Defined Contribution",IF(Inputs!$B$105&gt;=Inputs!$B$68,(Inputs!$B$66*(1+Inputs!$B$67)^(Inputs!$B$105-Inputs!$B$5))*(IF(Inputs!$B$90="4% Safe Withdrawal (perpetual)",0.04,IF(Inputs!$B$105&gt;=Inputs!$B$7,0.04,1/MAX(1,Inputs!$B$7-Inputs!$B$105)))),0),0))+(IF(Inputs!$B$70="Defined Benefit",IF(Inputs!$B$105&gt;=Inputs!$B$72,Inputs!$B$71,0),0)+IF(Inputs!$B$70="Defined Contribution",IF(Inputs!$B$105&gt;=Inputs!$B$75,(Inputs!$B$73*(1+Inputs!$B$74)^(Inputs!$B$105-Inputs!$B$5))*(IF(Inputs!$B$90="4% Safe Withdrawal (perpetual)",0.04,IF(Inputs!$B$105&gt;=Inputs!$B$7,0.04,1/MAX(1,Inputs!$B$7-Inputs!$B$105)))),0),0))+(IF(Inputs!$B$77="Defined Benefit",IF(Inputs!$B$105&gt;=Inputs!$B$79,Inputs!$B$78,0),0)+IF(Inputs!$B$77="Defined Contribution",IF(Inputs!$B$105&gt;=Inputs!$B$82,(Inputs!$B$80*(1+Inputs!$B$81)^(Inputs!$B$105-Inputs!$B$5))*(IF(Inputs!$B$90="4% Safe Withdrawal (perpetual)",0.04,IF(Inputs!$B$105&gt;=Inputs!$B$7,0.04,1/MAX(1,Inputs!$B$7-Inputs!$B$105)))),0),0))</f>
        <v>0</v>
      </c>
      <c r="C14" s="27"/>
      <c r="D14" s="27"/>
    </row>
    <row r="15" spans="1:5" x14ac:dyDescent="0.3">
      <c r="A15" s="28" t="s">
        <v>228</v>
      </c>
      <c r="B15" s="29">
        <f ca="1">B9+B12+B13+B14</f>
        <v>33702.567960391658</v>
      </c>
      <c r="C15" s="27"/>
      <c r="D15" s="27"/>
    </row>
    <row r="16" spans="1:5" x14ac:dyDescent="0.3">
      <c r="A16" s="27"/>
      <c r="B16" s="27"/>
      <c r="C16" s="27"/>
      <c r="D16" s="27"/>
    </row>
    <row r="17" spans="1:5" x14ac:dyDescent="0.3">
      <c r="A17" s="28" t="s">
        <v>229</v>
      </c>
      <c r="B17" s="32"/>
      <c r="C17" s="27"/>
      <c r="D17" s="27"/>
    </row>
    <row r="18" spans="1:5" x14ac:dyDescent="0.3">
      <c r="A18" s="21" t="s">
        <v>230</v>
      </c>
      <c r="B18" s="23">
        <f ca="1">MAX(0,Inputs!$B$104-B15)</f>
        <v>16297.432039608342</v>
      </c>
      <c r="C18" s="27"/>
      <c r="D18" s="27"/>
    </row>
    <row r="19" spans="1:5" x14ac:dyDescent="0.3">
      <c r="A19" s="21" t="s">
        <v>231</v>
      </c>
      <c r="B19" s="23">
        <f ca="1">IF(Inputs!$B$90="4% Safe Withdrawal (perpetual)",B18/0.04,IF(Inputs!$B$105&gt;=Inputs!$B$7,B18/0.04,B18*MAX(1,Inputs!$B$7-Inputs!$B$105)))</f>
        <v>407435.80099020852</v>
      </c>
      <c r="C19" s="27"/>
      <c r="D19" s="27"/>
      <c r="E19" s="10" t="s">
        <v>232</v>
      </c>
    </row>
    <row r="20" spans="1:5" x14ac:dyDescent="0.3">
      <c r="A20" s="21" t="s">
        <v>233</v>
      </c>
      <c r="B20" s="23">
        <f ca="1">IFERROR(INDEX('Private Pensions Projection'!I5:I39,MATCH(Inputs!$B$105,'Private Pensions Projection'!C5:C39,0)),"n/a")</f>
        <v>569956.68167913705</v>
      </c>
      <c r="C20" s="27"/>
      <c r="D20" s="27"/>
    </row>
    <row r="21" spans="1:5" x14ac:dyDescent="0.3">
      <c r="A21" s="28" t="s">
        <v>234</v>
      </c>
      <c r="B21" s="29">
        <f ca="1">MAX(0,B19-B20)</f>
        <v>0</v>
      </c>
      <c r="C21" s="27"/>
      <c r="D21" s="27"/>
    </row>
    <row r="22" spans="1:5" x14ac:dyDescent="0.3">
      <c r="A22" s="21" t="s">
        <v>235</v>
      </c>
      <c r="B22" s="22">
        <f ca="1">MAX(1,Inputs!$B$105-Inputs!$B$5)</f>
        <v>16</v>
      </c>
      <c r="C22" s="27"/>
      <c r="D22" s="27"/>
    </row>
    <row r="23" spans="1:5" x14ac:dyDescent="0.3">
      <c r="A23" s="27"/>
      <c r="B23" s="27"/>
      <c r="C23" s="27"/>
      <c r="D23" s="27"/>
    </row>
    <row r="24" spans="1:5" x14ac:dyDescent="0.3">
      <c r="A24" s="28" t="s">
        <v>236</v>
      </c>
      <c r="B24" s="32"/>
      <c r="C24" s="32"/>
      <c r="D24" s="32"/>
    </row>
    <row r="25" spans="1:5" x14ac:dyDescent="0.3">
      <c r="A25" s="33"/>
      <c r="B25" s="33" t="s">
        <v>237</v>
      </c>
      <c r="C25" s="33" t="s">
        <v>238</v>
      </c>
      <c r="D25" s="33" t="s">
        <v>239</v>
      </c>
    </row>
    <row r="26" spans="1:5" x14ac:dyDescent="0.3">
      <c r="A26" s="21" t="s">
        <v>240</v>
      </c>
      <c r="B26" s="26">
        <f>MAX(0,Inputs!$B$106-0.015)</f>
        <v>0.03</v>
      </c>
      <c r="C26" s="26">
        <f>Inputs!$B$106</f>
        <v>4.4999999999999998E-2</v>
      </c>
      <c r="D26" s="26">
        <f>Inputs!$B$106+0.015</f>
        <v>0.06</v>
      </c>
    </row>
    <row r="27" spans="1:5" x14ac:dyDescent="0.3">
      <c r="A27" s="30" t="s">
        <v>241</v>
      </c>
      <c r="B27" s="34">
        <f ca="1">IF(B26=0,B21/B22,B21*B26/((1+B26)^B22-1))</f>
        <v>0</v>
      </c>
      <c r="C27" s="34">
        <f ca="1">IF(C26=0,B21/B22,B21*C26/((1+C26)^B22-1))</f>
        <v>0</v>
      </c>
      <c r="D27" s="34">
        <f ca="1">IF(D26=0,B21/B22,B21*D26/((1+D26)^B22-1))</f>
        <v>0</v>
      </c>
    </row>
    <row r="29" spans="1:5" ht="45" customHeight="1" x14ac:dyDescent="0.3">
      <c r="A29" s="39" t="s">
        <v>242</v>
      </c>
      <c r="B29" s="39"/>
      <c r="C29" s="39"/>
      <c r="D29" s="39"/>
      <c r="E29" s="39"/>
    </row>
  </sheetData>
  <mergeCells count="2">
    <mergeCell ref="A3:E3"/>
    <mergeCell ref="A29:E29"/>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showGridLines="0" zoomScaleNormal="100" workbookViewId="0"/>
  </sheetViews>
  <sheetFormatPr defaultColWidth="8.6640625" defaultRowHeight="14.4" x14ac:dyDescent="0.3"/>
  <cols>
    <col min="1" max="1" width="26" customWidth="1"/>
    <col min="2" max="4" width="20" customWidth="1"/>
    <col min="5" max="5" width="60" customWidth="1"/>
  </cols>
  <sheetData>
    <row r="1" spans="1:5" ht="21.75" customHeight="1" x14ac:dyDescent="0.35">
      <c r="A1" s="5" t="s">
        <v>243</v>
      </c>
      <c r="B1" s="6"/>
      <c r="C1" s="6"/>
      <c r="D1" s="6"/>
      <c r="E1" s="6"/>
    </row>
    <row r="3" spans="1:5" ht="30" customHeight="1" x14ac:dyDescent="0.3">
      <c r="A3" s="41" t="s">
        <v>244</v>
      </c>
      <c r="B3" s="41"/>
      <c r="C3" s="41"/>
      <c r="D3" s="41"/>
      <c r="E3" s="41"/>
    </row>
    <row r="5" spans="1:5" ht="30" customHeight="1" x14ac:dyDescent="0.3">
      <c r="A5" s="20" t="s">
        <v>245</v>
      </c>
      <c r="B5" s="20" t="s">
        <v>246</v>
      </c>
      <c r="C5" s="20" t="s">
        <v>247</v>
      </c>
      <c r="D5" s="20"/>
      <c r="E5" s="20" t="s">
        <v>248</v>
      </c>
    </row>
    <row r="6" spans="1:5" ht="30" customHeight="1" x14ac:dyDescent="0.3">
      <c r="A6" s="30" t="s">
        <v>249</v>
      </c>
      <c r="B6" s="23">
        <v>13900</v>
      </c>
      <c r="C6" s="23">
        <v>22500</v>
      </c>
      <c r="D6" s="27"/>
      <c r="E6" s="35" t="s">
        <v>250</v>
      </c>
    </row>
    <row r="7" spans="1:5" ht="30" customHeight="1" x14ac:dyDescent="0.3">
      <c r="A7" s="30" t="s">
        <v>251</v>
      </c>
      <c r="B7" s="23">
        <v>32700</v>
      </c>
      <c r="C7" s="23">
        <v>45400</v>
      </c>
      <c r="D7" s="27"/>
      <c r="E7" s="35" t="s">
        <v>252</v>
      </c>
    </row>
    <row r="8" spans="1:5" ht="30" customHeight="1" x14ac:dyDescent="0.3">
      <c r="A8" s="30" t="s">
        <v>253</v>
      </c>
      <c r="B8" s="23">
        <v>45400</v>
      </c>
      <c r="C8" s="23">
        <v>62700</v>
      </c>
      <c r="D8" s="27"/>
      <c r="E8" s="35" t="s">
        <v>254</v>
      </c>
    </row>
    <row r="10" spans="1:5" ht="15" customHeight="1" x14ac:dyDescent="0.3">
      <c r="A10" s="39" t="s">
        <v>255</v>
      </c>
      <c r="B10" s="39"/>
      <c r="C10" s="39"/>
      <c r="D10" s="39"/>
      <c r="E10" s="39"/>
    </row>
    <row r="12" spans="1:5" x14ac:dyDescent="0.3">
      <c r="A12" s="7" t="s">
        <v>256</v>
      </c>
      <c r="B12" s="8"/>
      <c r="C12" s="8"/>
      <c r="D12" s="8"/>
      <c r="E12" s="8"/>
    </row>
    <row r="13" spans="1:5" x14ac:dyDescent="0.3">
      <c r="A13" s="10" t="s">
        <v>257</v>
      </c>
    </row>
    <row r="15" spans="1:5" x14ac:dyDescent="0.3">
      <c r="A15" s="33"/>
      <c r="B15" s="33" t="s">
        <v>258</v>
      </c>
      <c r="C15" s="33" t="s">
        <v>259</v>
      </c>
      <c r="D15" s="33" t="s">
        <v>260</v>
      </c>
    </row>
    <row r="16" spans="1:5" x14ac:dyDescent="0.3">
      <c r="A16" s="21" t="s">
        <v>261</v>
      </c>
      <c r="B16" s="23">
        <f ca="1">'Scenario Summary'!B19</f>
        <v>40357.543367333565</v>
      </c>
      <c r="C16" s="23">
        <f ca="1">'Scenario Summary'!C19</f>
        <v>68718.546600652771</v>
      </c>
      <c r="D16" s="23">
        <f ca="1">'Scenario Summary'!D19</f>
        <v>107310.85445424909</v>
      </c>
    </row>
    <row r="17" spans="1:4" x14ac:dyDescent="0.3">
      <c r="A17" s="30" t="s">
        <v>262</v>
      </c>
      <c r="B17" s="30" t="str">
        <f ca="1">IF(B16&lt;IF(Inputs!$B$109="One-person",B6,C6),"Below Minimum",IF(B16&lt;IF(Inputs!$B$109="One-person",B7,C7),"Minimum",IF(B16&lt;IF(Inputs!$B$109="One-person",B8,C8),"Moderate","Comfortable")))</f>
        <v>Moderate</v>
      </c>
      <c r="C17" s="30" t="str">
        <f ca="1">IF(C16&lt;IF(Inputs!$B$109="One-person",B6,C6),"Below Minimum",IF(C16&lt;IF(Inputs!$B$109="One-person",B7,C7),"Minimum",IF(C16&lt;IF(Inputs!$B$109="One-person",B8,C8),"Moderate","Comfortable")))</f>
        <v>Comfortable</v>
      </c>
      <c r="D17" s="30" t="str">
        <f ca="1">IF(D16&lt;IF(Inputs!$B$109="One-person",B6,C6),"Below Minimum",IF(D16&lt;IF(Inputs!$B$109="One-person",B7,C7),"Minimum",IF(D16&lt;IF(Inputs!$B$109="One-person",B8,C8),"Moderate","Comfortable")))</f>
        <v>Comfortable</v>
      </c>
    </row>
  </sheetData>
  <mergeCells count="2">
    <mergeCell ref="A3:E3"/>
    <mergeCell ref="A10:E10"/>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showGridLines="0" zoomScaleNormal="100" workbookViewId="0"/>
  </sheetViews>
  <sheetFormatPr defaultColWidth="8.6640625" defaultRowHeight="14.4" x14ac:dyDescent="0.3"/>
  <cols>
    <col min="1" max="1" width="34" customWidth="1"/>
    <col min="2" max="2" width="16" customWidth="1"/>
    <col min="3" max="3" width="70" customWidth="1"/>
  </cols>
  <sheetData>
    <row r="1" spans="1:3" ht="21.75" customHeight="1" x14ac:dyDescent="0.35">
      <c r="A1" s="5" t="s">
        <v>263</v>
      </c>
      <c r="B1" s="6"/>
      <c r="C1" s="6"/>
    </row>
    <row r="3" spans="1:3" ht="60" customHeight="1" x14ac:dyDescent="0.3">
      <c r="A3" s="40" t="s">
        <v>264</v>
      </c>
      <c r="B3" s="40"/>
      <c r="C3" s="40"/>
    </row>
    <row r="5" spans="1:3" x14ac:dyDescent="0.3">
      <c r="A5" s="36" t="s">
        <v>265</v>
      </c>
      <c r="B5" s="36" t="s">
        <v>266</v>
      </c>
      <c r="C5" s="36" t="s">
        <v>267</v>
      </c>
    </row>
    <row r="6" spans="1:3" ht="30" customHeight="1" x14ac:dyDescent="0.3">
      <c r="A6" s="21" t="s">
        <v>268</v>
      </c>
      <c r="B6" s="37" t="s">
        <v>269</v>
      </c>
      <c r="C6" s="38" t="s">
        <v>270</v>
      </c>
    </row>
    <row r="7" spans="1:3" ht="30" customHeight="1" x14ac:dyDescent="0.3">
      <c r="A7" s="21" t="s">
        <v>271</v>
      </c>
      <c r="B7" s="37" t="s">
        <v>272</v>
      </c>
      <c r="C7" s="38" t="s">
        <v>273</v>
      </c>
    </row>
    <row r="8" spans="1:3" ht="45" customHeight="1" x14ac:dyDescent="0.3">
      <c r="A8" s="21" t="s">
        <v>274</v>
      </c>
      <c r="B8" s="37" t="s">
        <v>275</v>
      </c>
      <c r="C8" s="38" t="s">
        <v>276</v>
      </c>
    </row>
    <row r="9" spans="1:3" ht="30" customHeight="1" x14ac:dyDescent="0.3">
      <c r="A9" s="21" t="s">
        <v>117</v>
      </c>
      <c r="B9" s="37" t="s">
        <v>277</v>
      </c>
      <c r="C9" s="38" t="s">
        <v>278</v>
      </c>
    </row>
    <row r="10" spans="1:3" ht="30" customHeight="1" x14ac:dyDescent="0.3">
      <c r="A10" s="21" t="s">
        <v>279</v>
      </c>
      <c r="B10" s="37" t="s">
        <v>280</v>
      </c>
      <c r="C10" s="38" t="s">
        <v>281</v>
      </c>
    </row>
    <row r="11" spans="1:3" ht="30" customHeight="1" x14ac:dyDescent="0.3">
      <c r="A11" s="21" t="s">
        <v>282</v>
      </c>
      <c r="B11" s="37" t="s">
        <v>283</v>
      </c>
      <c r="C11" s="38" t="s">
        <v>284</v>
      </c>
    </row>
    <row r="12" spans="1:3" ht="45" customHeight="1" x14ac:dyDescent="0.3">
      <c r="A12" s="21" t="s">
        <v>285</v>
      </c>
      <c r="B12" s="37" t="s">
        <v>286</v>
      </c>
      <c r="C12" s="38" t="s">
        <v>287</v>
      </c>
    </row>
    <row r="13" spans="1:3" ht="150" customHeight="1" x14ac:dyDescent="0.3">
      <c r="A13" s="21" t="s">
        <v>288</v>
      </c>
      <c r="B13" s="37" t="s">
        <v>289</v>
      </c>
      <c r="C13" s="38" t="s">
        <v>290</v>
      </c>
    </row>
    <row r="14" spans="1:3" ht="30" customHeight="1" x14ac:dyDescent="0.3">
      <c r="A14" s="21" t="s">
        <v>74</v>
      </c>
      <c r="B14" s="37" t="s">
        <v>291</v>
      </c>
      <c r="C14" s="38" t="s">
        <v>292</v>
      </c>
    </row>
    <row r="15" spans="1:3" ht="30" customHeight="1" x14ac:dyDescent="0.3">
      <c r="A15" s="21" t="s">
        <v>293</v>
      </c>
      <c r="B15" s="37" t="s">
        <v>294</v>
      </c>
      <c r="C15" s="38" t="s">
        <v>295</v>
      </c>
    </row>
    <row r="16" spans="1:3" ht="75" customHeight="1" x14ac:dyDescent="0.3">
      <c r="A16" s="21" t="s">
        <v>296</v>
      </c>
      <c r="B16" s="37" t="s">
        <v>297</v>
      </c>
      <c r="C16" s="38" t="s">
        <v>298</v>
      </c>
    </row>
    <row r="17" spans="1:3" ht="30" customHeight="1" x14ac:dyDescent="0.3">
      <c r="A17" s="21" t="s">
        <v>299</v>
      </c>
      <c r="B17" s="37" t="s">
        <v>300</v>
      </c>
      <c r="C17" s="38" t="s">
        <v>301</v>
      </c>
    </row>
    <row r="18" spans="1:3" ht="30" customHeight="1" x14ac:dyDescent="0.3">
      <c r="A18" s="21" t="s">
        <v>302</v>
      </c>
      <c r="B18" s="37" t="s">
        <v>303</v>
      </c>
      <c r="C18" s="38" t="s">
        <v>304</v>
      </c>
    </row>
    <row r="19" spans="1:3" ht="45" customHeight="1" x14ac:dyDescent="0.3">
      <c r="A19" s="21" t="s">
        <v>305</v>
      </c>
      <c r="B19" s="37" t="s">
        <v>306</v>
      </c>
      <c r="C19" s="38" t="s">
        <v>307</v>
      </c>
    </row>
    <row r="20" spans="1:3" ht="30" customHeight="1" x14ac:dyDescent="0.3">
      <c r="A20" s="21" t="s">
        <v>308</v>
      </c>
      <c r="B20" s="37" t="s">
        <v>309</v>
      </c>
      <c r="C20" s="38" t="s">
        <v>310</v>
      </c>
    </row>
    <row r="21" spans="1:3" ht="60" customHeight="1" x14ac:dyDescent="0.3">
      <c r="A21" s="21" t="s">
        <v>311</v>
      </c>
      <c r="B21" s="37" t="s">
        <v>312</v>
      </c>
      <c r="C21" s="38" t="s">
        <v>313</v>
      </c>
    </row>
    <row r="22" spans="1:3" ht="45" customHeight="1" x14ac:dyDescent="0.3">
      <c r="A22" s="21" t="s">
        <v>314</v>
      </c>
      <c r="B22" s="37" t="s">
        <v>315</v>
      </c>
      <c r="C22" s="38" t="s">
        <v>316</v>
      </c>
    </row>
    <row r="23" spans="1:3" ht="30" customHeight="1" x14ac:dyDescent="0.3">
      <c r="A23" s="21" t="s">
        <v>317</v>
      </c>
      <c r="B23" s="37" t="s">
        <v>318</v>
      </c>
      <c r="C23" s="38" t="s">
        <v>319</v>
      </c>
    </row>
    <row r="24" spans="1:3" ht="120" customHeight="1" x14ac:dyDescent="0.3">
      <c r="A24" s="21" t="s">
        <v>320</v>
      </c>
      <c r="B24" s="37" t="s">
        <v>321</v>
      </c>
      <c r="C24" s="38" t="s">
        <v>322</v>
      </c>
    </row>
    <row r="25" spans="1:3" ht="75" customHeight="1" x14ac:dyDescent="0.3">
      <c r="A25" s="21" t="s">
        <v>323</v>
      </c>
      <c r="B25" s="37" t="s">
        <v>324</v>
      </c>
      <c r="C25" s="38" t="s">
        <v>325</v>
      </c>
    </row>
    <row r="26" spans="1:3" ht="30" customHeight="1" x14ac:dyDescent="0.3">
      <c r="A26" s="21" t="s">
        <v>326</v>
      </c>
      <c r="B26" s="37" t="s">
        <v>327</v>
      </c>
      <c r="C26" s="38" t="s">
        <v>328</v>
      </c>
    </row>
    <row r="27" spans="1:3" ht="45" customHeight="1" x14ac:dyDescent="0.3">
      <c r="A27" s="21" t="s">
        <v>329</v>
      </c>
      <c r="B27" s="37" t="s">
        <v>330</v>
      </c>
      <c r="C27" s="38" t="s">
        <v>331</v>
      </c>
    </row>
    <row r="28" spans="1:3" ht="30" customHeight="1" x14ac:dyDescent="0.3">
      <c r="A28" s="21" t="s">
        <v>332</v>
      </c>
      <c r="B28" s="37" t="s">
        <v>333</v>
      </c>
      <c r="C28" s="38" t="s">
        <v>334</v>
      </c>
    </row>
    <row r="29" spans="1:3" ht="60" customHeight="1" x14ac:dyDescent="0.3">
      <c r="A29" s="21" t="s">
        <v>335</v>
      </c>
      <c r="B29" s="37" t="s">
        <v>336</v>
      </c>
      <c r="C29" s="38" t="s">
        <v>337</v>
      </c>
    </row>
    <row r="30" spans="1:3" ht="90" customHeight="1" x14ac:dyDescent="0.3">
      <c r="A30" s="21" t="s">
        <v>338</v>
      </c>
      <c r="B30" s="37" t="s">
        <v>339</v>
      </c>
      <c r="C30" s="38" t="s">
        <v>340</v>
      </c>
    </row>
    <row r="31" spans="1:3" ht="105" customHeight="1" x14ac:dyDescent="0.3">
      <c r="A31" s="21" t="s">
        <v>341</v>
      </c>
      <c r="B31" s="37" t="s">
        <v>342</v>
      </c>
      <c r="C31" s="38" t="s">
        <v>343</v>
      </c>
    </row>
  </sheetData>
  <mergeCells count="1">
    <mergeCell ref="A3:C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showGridLines="0" zoomScaleNormal="100" workbookViewId="0"/>
  </sheetViews>
  <sheetFormatPr defaultColWidth="8.6640625" defaultRowHeight="14.4" x14ac:dyDescent="0.3"/>
  <cols>
    <col min="1" max="1" width="30" customWidth="1"/>
    <col min="2" max="2" width="80" customWidth="1"/>
  </cols>
  <sheetData>
    <row r="1" spans="1:2" ht="21.75" customHeight="1" x14ac:dyDescent="0.35">
      <c r="A1" s="5" t="s">
        <v>344</v>
      </c>
      <c r="B1" s="6"/>
    </row>
    <row r="3" spans="1:2" ht="19.5" customHeight="1" x14ac:dyDescent="0.3">
      <c r="A3" s="10" t="s">
        <v>345</v>
      </c>
    </row>
    <row r="5" spans="1:2" x14ac:dyDescent="0.3">
      <c r="A5" s="36" t="s">
        <v>346</v>
      </c>
      <c r="B5" s="36" t="s">
        <v>347</v>
      </c>
    </row>
    <row r="6" spans="1:2" ht="27.75" customHeight="1" x14ac:dyDescent="0.3">
      <c r="A6" s="30" t="s">
        <v>348</v>
      </c>
      <c r="B6" s="38" t="s">
        <v>349</v>
      </c>
    </row>
    <row r="7" spans="1:2" ht="27.75" customHeight="1" x14ac:dyDescent="0.3">
      <c r="A7" s="30" t="s">
        <v>350</v>
      </c>
      <c r="B7" s="38" t="s">
        <v>351</v>
      </c>
    </row>
    <row r="8" spans="1:2" ht="42" customHeight="1" x14ac:dyDescent="0.3">
      <c r="A8" s="30" t="s">
        <v>352</v>
      </c>
      <c r="B8" s="38" t="s">
        <v>353</v>
      </c>
    </row>
    <row r="9" spans="1:2" ht="27.75" customHeight="1" x14ac:dyDescent="0.3">
      <c r="A9" s="30" t="s">
        <v>354</v>
      </c>
      <c r="B9" s="38" t="s">
        <v>355</v>
      </c>
    </row>
    <row r="10" spans="1:2" ht="27.75" customHeight="1" x14ac:dyDescent="0.3">
      <c r="A10" s="30" t="s">
        <v>356</v>
      </c>
      <c r="B10" s="38" t="s">
        <v>357</v>
      </c>
    </row>
    <row r="11" spans="1:2" ht="27.75" customHeight="1" x14ac:dyDescent="0.3">
      <c r="A11" s="30" t="s">
        <v>358</v>
      </c>
      <c r="B11" s="38" t="s">
        <v>359</v>
      </c>
    </row>
    <row r="12" spans="1:2" ht="27.75" customHeight="1" x14ac:dyDescent="0.3">
      <c r="A12" s="30" t="s">
        <v>360</v>
      </c>
      <c r="B12" s="38" t="s">
        <v>361</v>
      </c>
    </row>
    <row r="13" spans="1:2" ht="27.75" customHeight="1" x14ac:dyDescent="0.3">
      <c r="A13" s="30" t="s">
        <v>362</v>
      </c>
      <c r="B13" s="38" t="s">
        <v>363</v>
      </c>
    </row>
    <row r="14" spans="1:2" ht="27.75" customHeight="1" x14ac:dyDescent="0.3">
      <c r="A14" s="30" t="s">
        <v>364</v>
      </c>
      <c r="B14" s="38" t="s">
        <v>365</v>
      </c>
    </row>
    <row r="15" spans="1:2" ht="27.75" customHeight="1" x14ac:dyDescent="0.3">
      <c r="A15" s="30" t="s">
        <v>279</v>
      </c>
      <c r="B15" s="38" t="s">
        <v>366</v>
      </c>
    </row>
    <row r="16" spans="1:2" ht="42" customHeight="1" x14ac:dyDescent="0.3">
      <c r="A16" s="30" t="s">
        <v>367</v>
      </c>
      <c r="B16" s="38" t="s">
        <v>368</v>
      </c>
    </row>
    <row r="17" spans="1:2" ht="27.75" customHeight="1" x14ac:dyDescent="0.3">
      <c r="A17" s="30" t="s">
        <v>369</v>
      </c>
      <c r="B17" s="38" t="s">
        <v>370</v>
      </c>
    </row>
    <row r="18" spans="1:2" ht="27.75" customHeight="1" x14ac:dyDescent="0.3">
      <c r="A18" s="30" t="s">
        <v>371</v>
      </c>
      <c r="B18" s="38" t="s">
        <v>372</v>
      </c>
    </row>
    <row r="19" spans="1:2" ht="27.75" customHeight="1" x14ac:dyDescent="0.3">
      <c r="A19" s="30" t="s">
        <v>373</v>
      </c>
      <c r="B19" s="38" t="s">
        <v>374</v>
      </c>
    </row>
    <row r="20" spans="1:2" ht="27.75" customHeight="1" x14ac:dyDescent="0.3">
      <c r="A20" s="30" t="s">
        <v>375</v>
      </c>
      <c r="B20" s="38" t="s">
        <v>376</v>
      </c>
    </row>
    <row r="21" spans="1:2" ht="27.75" customHeight="1" x14ac:dyDescent="0.3">
      <c r="A21" s="30" t="s">
        <v>377</v>
      </c>
      <c r="B21" s="38" t="s">
        <v>378</v>
      </c>
    </row>
    <row r="22" spans="1:2" ht="27.75" customHeight="1" x14ac:dyDescent="0.3">
      <c r="A22" s="30" t="s">
        <v>379</v>
      </c>
      <c r="B22" s="38" t="s">
        <v>380</v>
      </c>
    </row>
    <row r="23" spans="1:2" ht="27.75" customHeight="1" x14ac:dyDescent="0.3">
      <c r="A23" s="30" t="s">
        <v>381</v>
      </c>
      <c r="B23" s="38" t="s">
        <v>382</v>
      </c>
    </row>
    <row r="24" spans="1:2" ht="27.75" customHeight="1" x14ac:dyDescent="0.3">
      <c r="A24" s="30" t="s">
        <v>383</v>
      </c>
      <c r="B24" s="38" t="s">
        <v>384</v>
      </c>
    </row>
    <row r="25" spans="1:2" ht="27.75" customHeight="1" x14ac:dyDescent="0.3">
      <c r="A25" s="30" t="s">
        <v>385</v>
      </c>
      <c r="B25" s="38" t="s">
        <v>386</v>
      </c>
    </row>
    <row r="26" spans="1:2" ht="27.75" customHeight="1" x14ac:dyDescent="0.3">
      <c r="A26" s="30" t="s">
        <v>387</v>
      </c>
      <c r="B26" s="38" t="s">
        <v>388</v>
      </c>
    </row>
    <row r="27" spans="1:2" ht="27.75" customHeight="1" x14ac:dyDescent="0.3">
      <c r="A27" s="30" t="s">
        <v>389</v>
      </c>
      <c r="B27" s="38" t="s">
        <v>390</v>
      </c>
    </row>
    <row r="28" spans="1:2" ht="27.75" customHeight="1" x14ac:dyDescent="0.3">
      <c r="A28" s="30" t="s">
        <v>391</v>
      </c>
      <c r="B28" s="38" t="s">
        <v>392</v>
      </c>
    </row>
    <row r="29" spans="1:2" ht="42" customHeight="1" x14ac:dyDescent="0.3">
      <c r="A29" s="30" t="s">
        <v>393</v>
      </c>
      <c r="B29" s="38" t="s">
        <v>394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Inputs</vt:lpstr>
      <vt:lpstr>Legacy Scheme</vt:lpstr>
      <vt:lpstr>2015 CARE Projection</vt:lpstr>
      <vt:lpstr>Private Pensions Projection</vt:lpstr>
      <vt:lpstr>Annual Allowance Check</vt:lpstr>
      <vt:lpstr>Scenario Summary</vt:lpstr>
      <vt:lpstr>Target Income Calculator</vt:lpstr>
      <vt:lpstr>Retirement Living Standards</vt:lpstr>
      <vt:lpstr>Assumptions &amp; Sources</vt:lpstr>
      <vt:lpstr>Glossary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Howes</cp:lastModifiedBy>
  <cp:revision>0</cp:revision>
  <dcterms:created xsi:type="dcterms:W3CDTF">2026-07-10T05:31:39Z</dcterms:created>
  <dcterms:modified xsi:type="dcterms:W3CDTF">2026-07-10T15:44:16Z</dcterms:modified>
  <dc:language>en-US</dc:language>
</cp:coreProperties>
</file>